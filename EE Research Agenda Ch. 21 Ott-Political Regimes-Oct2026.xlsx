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n1080291-my.sharepoint.com/personal/jan_betacom_nl/Documents/Documenten/Research Agenda EE/EE-READY/"/>
    </mc:Choice>
  </mc:AlternateContent>
  <xr:revisionPtr revIDLastSave="0" documentId="8_{F4F2FC70-60EB-4B05-B243-72A97FD827B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2" i="1" l="1"/>
  <c r="Y2" i="1"/>
</calcChain>
</file>

<file path=xl/sharedStrings.xml><?xml version="1.0" encoding="utf-8"?>
<sst xmlns="http://schemas.openxmlformats.org/spreadsheetml/2006/main" count="266" uniqueCount="225">
  <si>
    <t>Country (English)</t>
  </si>
  <si>
    <t>Regime</t>
  </si>
  <si>
    <t>VA2023</t>
  </si>
  <si>
    <t>PA2023</t>
  </si>
  <si>
    <t>DemQ</t>
  </si>
  <si>
    <t>GE2023</t>
  </si>
  <si>
    <t>RQ2023</t>
  </si>
  <si>
    <t>RL2023</t>
  </si>
  <si>
    <t>CC2023</t>
  </si>
  <si>
    <t>TechQ</t>
  </si>
  <si>
    <t>Political rights-0-40</t>
  </si>
  <si>
    <t>Civil Liberties-0-60</t>
  </si>
  <si>
    <t>Freedom-total-0-100</t>
  </si>
  <si>
    <t>Perceived Fr.</t>
  </si>
  <si>
    <t>HDI-2023</t>
  </si>
  <si>
    <t>Life Exp.</t>
  </si>
  <si>
    <t>Exp. S.</t>
  </si>
  <si>
    <t>Mean S.</t>
  </si>
  <si>
    <t>GNI-pppc</t>
  </si>
  <si>
    <t>General InEq.</t>
  </si>
  <si>
    <t>Gender InEq.</t>
  </si>
  <si>
    <t>Electoral</t>
  </si>
  <si>
    <t>Liberal A</t>
  </si>
  <si>
    <t>Liberal B</t>
  </si>
  <si>
    <t>Egalitarian</t>
  </si>
  <si>
    <t>Participatory</t>
  </si>
  <si>
    <t>Deliberative</t>
  </si>
  <si>
    <t>Afghanistan</t>
  </si>
  <si>
    <t>Albania</t>
  </si>
  <si>
    <t>Algeria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</si>
  <si>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</si>
  <si>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</si>
  <si>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</si>
  <si>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</si>
  <si>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</si>
  <si>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</si>
  <si>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</si>
  <si>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</si>
  <si>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</si>
  <si>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</si>
  <si>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</si>
  <si>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</si>
  <si>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</si>
  <si>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H.</t>
  </si>
  <si>
    <t>Botswana</t>
  </si>
  <si>
    <t>Brazil</t>
  </si>
  <si>
    <t>Bulgaria</t>
  </si>
  <si>
    <t>Burkina Faso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</si>
  <si>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</si>
  <si>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</si>
  <si>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</si>
  <si>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</si>
  <si>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</si>
  <si>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</si>
  <si>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</si>
  <si>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</si>
  <si>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Congo, Rep.</t>
  </si>
  <si>
    <t>Congo, Dem. Rep.</t>
  </si>
  <si>
    <t>Costa Rica</t>
  </si>
  <si>
    <t>Croatia</t>
  </si>
  <si>
    <t>Cyprus</t>
  </si>
  <si>
    <t>Czech Republic</t>
  </si>
  <si>
    <t>Denmark</t>
  </si>
  <si>
    <t>Dominican Rep.</t>
  </si>
  <si>
    <t>Ecuador</t>
  </si>
  <si>
    <t>Egypt, Arab Rep.</t>
  </si>
  <si>
    <t>El Salvador</t>
  </si>
  <si>
    <t>Estonia</t>
  </si>
  <si>
    <t>Ethiopia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</si>
  <si>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</si>
  <si>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</si>
  <si>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</si>
  <si>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</si>
  <si>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</si>
  <si>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</si>
  <si>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</si>
  <si>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</si>
  <si>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</si>
  <si>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</si>
  <si>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</si>
  <si>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</si>
  <si>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</si>
  <si>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</si>
  <si>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</si>
  <si>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</si>
  <si>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</si>
  <si>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</si>
  <si>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</si>
  <si>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</si>
  <si>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</si>
  <si>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</si>
  <si>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</si>
  <si>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</si>
  <si>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</si>
  <si>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</si>
  <si>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</si>
  <si>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</si>
  <si>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</si>
  <si>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</si>
  <si>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</si>
  <si>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</si>
  <si>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</si>
  <si>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</si>
  <si>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</si>
  <si>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</si>
  <si>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</si>
  <si>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</si>
  <si>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</si>
  <si>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</si>
  <si>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</si>
  <si>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</si>
  <si>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</si>
  <si>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</si>
  <si>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</si>
  <si>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</si>
  <si>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</si>
  <si>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</si>
  <si>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</si>
  <si>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</si>
  <si>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</si>
  <si>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</si>
  <si>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</si>
  <si>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</si>
  <si>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</si>
  <si>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</si>
  <si>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</si>
  <si>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</si>
  <si>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</si>
  <si>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</si>
  <si>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</si>
  <si>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</si>
  <si>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</si>
  <si>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</si>
  <si>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</si>
  <si>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</si>
  <si>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</si>
  <si>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</si>
  <si>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</si>
  <si>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</si>
  <si>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</si>
  <si>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</si>
  <si>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</si>
  <si>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</si>
  <si>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</si>
  <si>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</si>
  <si>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</si>
  <si>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South Africa</t>
  </si>
  <si>
    <t>Korea, Rep.</t>
  </si>
  <si>
    <t>Spain</t>
  </si>
  <si>
    <t>Sri Lanka</t>
  </si>
  <si>
    <t>Sudan</t>
  </si>
  <si>
    <t>Suriname</t>
  </si>
  <si>
    <t>Sweden</t>
  </si>
  <si>
    <t>Switzerland</t>
  </si>
  <si>
    <t>Syrian Arab Rep.</t>
  </si>
  <si>
    <t>Taiwan,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</si>
  <si>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</si>
  <si>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</si>
  <si>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</si>
  <si>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</si>
  <si>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</si>
  <si>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</si>
  <si>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</si>
  <si>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</si>
  <si>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</si>
  <si>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</si>
  <si>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AE</t>
  </si>
  <si>
    <t>United Kingdom</t>
  </si>
  <si>
    <t>United States</t>
  </si>
  <si>
    <t>Uruguay</t>
  </si>
  <si>
    <t>Uzbekistan</t>
  </si>
  <si>
    <t>Venezuela, RB</t>
  </si>
  <si>
    <t>Viet Nam</t>
  </si>
  <si>
    <t>Zambia</t>
  </si>
  <si>
    <t>Zimbabwe</t>
  </si>
  <si>
    <t>Average All</t>
  </si>
  <si>
    <t>Corr. with C-Happiness-All</t>
  </si>
  <si>
    <t>Average Regimes</t>
  </si>
  <si>
    <t>Average Group 1</t>
  </si>
  <si>
    <t>Average Group 2</t>
  </si>
  <si>
    <t>Average Group 3</t>
  </si>
  <si>
    <t>Average Group 4</t>
  </si>
  <si>
    <t>Cor. with C-Happiness-regimes</t>
  </si>
  <si>
    <t>Corr. with C-Happiness - Group 1</t>
  </si>
  <si>
    <t>Corr. with C-Happiness - Group 2</t>
  </si>
  <si>
    <t>Corr. with C-Happiness - Group 3</t>
  </si>
  <si>
    <t>Corr. with C-Happiness - Group 4</t>
  </si>
  <si>
    <t>Group 1: Closed Autocracies 22</t>
  </si>
  <si>
    <t>Group 2: Electoral Autocracies 44</t>
  </si>
  <si>
    <t>Group 3: Electoral Democracies 52</t>
  </si>
  <si>
    <t>Group 4: Liberal Democracies 27</t>
  </si>
  <si>
    <t>Democracy Report 2025: 25 Years of Autocratization – Democracy Trumped? University of Gothenburg: V-Dem Institute.</t>
  </si>
  <si>
    <t xml:space="preserve">Nord, Marina, David Altman, Fabio Angiolillo, Tiago Fernandes, Ana Good God, and Staffan I. Lindberg. </t>
  </si>
  <si>
    <t>Data Source Happiness, column C and O.</t>
  </si>
  <si>
    <t>World Happiness Report 2025. University of Oxford: Wellbeing Research Centre.</t>
  </si>
  <si>
    <t xml:space="preserve">Helliwell, J. F., Layard, R., Sachs, J. D., De Neve, J.-E., Aknin, L. B., &amp; Wang, S. (Eds.). (2025). </t>
  </si>
  <si>
    <t>Data Gallup World Poll; Cantril Ladder Scale.</t>
  </si>
  <si>
    <t>Happiness values are averages for 2024 on 0-10-scale.</t>
  </si>
  <si>
    <t>Question used to measure individual freedom as perceived (subjective) freedom in column O, %Yes)</t>
  </si>
  <si>
    <t>Are you satisfied or dissatisfied with your freedom to choose what to do with your life? Yes/No. Values are %Yes.</t>
  </si>
  <si>
    <t>Data Source Governance Indicators; column D-K</t>
  </si>
  <si>
    <t>Worldwide Governance Indicators, 2023 Update, World Bank ( www.govindicators.org ), Accessed on 10/30/2024.</t>
  </si>
  <si>
    <t xml:space="preserve"> wgidataset_excel.zip </t>
  </si>
  <si>
    <t>Values in D-I are z-scores in standard deviation of the original population with averages close to 0 (0 in original population).</t>
  </si>
  <si>
    <t>VA=Voice and Accountability</t>
  </si>
  <si>
    <t>PA=Political Stability and Absence of Violence</t>
  </si>
  <si>
    <t>DemQ=Democratic Quality of Government (average VA and PA)</t>
  </si>
  <si>
    <t>GE=Government Effectiveness</t>
  </si>
  <si>
    <t>RQ=Regulatory Quality</t>
  </si>
  <si>
    <t>RL=Rule of Law</t>
  </si>
  <si>
    <t>CC=Control of Corruption</t>
  </si>
  <si>
    <t>TechQ=Technical Quality of Government (average GE, RQ, RL, and CC)</t>
  </si>
  <si>
    <t>Data Political Rights and Civil Liberties 2025; column L, M, N.</t>
  </si>
  <si>
    <t>Freedom in the World Dataset 2013-2025</t>
  </si>
  <si>
    <t>Freedom House</t>
  </si>
  <si>
    <t>Data 2023 Human Development Index HDI; column P, Q, R, S, T.</t>
  </si>
  <si>
    <t>Human Development Report 2025</t>
  </si>
  <si>
    <t>UNDP (United Nations Development Programme). 2025.</t>
  </si>
  <si>
    <t xml:space="preserve"> A matter of choice: People and possibilities in the age of AI. New York.</t>
  </si>
  <si>
    <t>Higher HDI-scores on 0-1-scale indicate more development (column P)</t>
  </si>
  <si>
    <t>Column U is the estimated inequality in the dimensions of the HDI, used to adjust the HDI-scores for the level of general inequality (substraction), to get the Inequality-adjusted HDI (IHDI).</t>
  </si>
  <si>
    <t>Column V is the difference between the HDI-scores and the Gender Development Index (GDI-scores).</t>
  </si>
  <si>
    <t>..</t>
  </si>
  <si>
    <t>Happiness</t>
  </si>
  <si>
    <t>Data Source Regimes; column B,W,X,Y,Z, AA, 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</si>
</sst>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0"/>
  <sheetViews>
    <sheetView tabSelected="1" workbookViewId="0">
      <selection activeCell="X174" sqref="X174"/>
    </sheetView>
  </sheetViews>
  <sheetFormatPr defaultRowHeight="15" x14ac:dyDescent="0.25"/>
  <cols>
    <col min="1" max="1" width="13.28515625" customWidth="1"/>
    <col min="2" max="2" width="18.7109375" customWidth="1"/>
    <col min="12" max="12" width="18.5703125" customWidth="1"/>
    <col min="13" max="13" width="17.85546875" customWidth="1"/>
    <col min="14" max="14" width="20.42578125" customWidth="1"/>
    <col min="15" max="15" width="14.5703125" customWidth="1"/>
    <col min="20" max="20" width="18.28515625" customWidth="1"/>
    <col min="21" max="21" width="15.5703125" customWidth="1"/>
    <col min="22" max="22" width="14.85546875" customWidth="1"/>
    <col min="23" max="25" width="18.28515625" customWidth="1"/>
    <col min="26" max="27" width="18.140625" customWidth="1"/>
    <col min="28" max="28" width="18.5703125" customWidth="1"/>
  </cols>
  <sheetData>
    <row r="1" spans="1:28" x14ac:dyDescent="0.25">
      <c r="A1" s="1" t="s">
        <v>0</v>
      </c>
      <c r="B1" s="1" t="s">
        <v>1</v>
      </c>
      <c r="C1" s="1" t="s">
        <v>223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B2">
        <v>1</v>
      </c>
      <c r="C2">
        <v>1.3640000000000001</v>
      </c>
      <c r="D2">
        <v>-1.85</v>
      </c>
      <c r="E2">
        <v>-2.48</v>
      </c>
      <c r="F2">
        <v>-2.16</v>
      </c>
      <c r="G2">
        <v>-1.99</v>
      </c>
      <c r="H2">
        <v>-1.27</v>
      </c>
      <c r="I2">
        <v>-1.65</v>
      </c>
      <c r="J2">
        <v>-1.1499999999999999</v>
      </c>
      <c r="K2" s="5">
        <v>-1.5</v>
      </c>
      <c r="L2">
        <v>1</v>
      </c>
      <c r="M2">
        <v>5</v>
      </c>
      <c r="N2">
        <v>6</v>
      </c>
      <c r="O2">
        <v>0.38</v>
      </c>
      <c r="P2">
        <v>0.496</v>
      </c>
      <c r="Q2" s="4">
        <v>66.034999999999997</v>
      </c>
      <c r="R2" s="4">
        <v>10.790143240000001</v>
      </c>
      <c r="S2" s="4">
        <v>2.514790058</v>
      </c>
      <c r="T2" s="3">
        <v>1971.549458</v>
      </c>
      <c r="U2">
        <v>5.04</v>
      </c>
      <c r="V2" s="2">
        <v>0.19534911074909761</v>
      </c>
      <c r="W2">
        <v>8.1000000000000003E-2</v>
      </c>
      <c r="X2">
        <v>1.6E-2</v>
      </c>
      <c r="Y2">
        <f>AVERAGE(AB2:AB149)</f>
        <v>0.62106081081081044</v>
      </c>
      <c r="Z2">
        <v>7.6999999999999999E-2</v>
      </c>
      <c r="AA2">
        <v>2.7E-2</v>
      </c>
      <c r="AB2">
        <v>7.2999999999999995E-2</v>
      </c>
    </row>
    <row r="3" spans="1:28" x14ac:dyDescent="0.25">
      <c r="A3" t="s">
        <v>28</v>
      </c>
      <c r="B3">
        <v>3</v>
      </c>
      <c r="C3">
        <v>5.4109999999999996</v>
      </c>
      <c r="D3">
        <v>0.17</v>
      </c>
      <c r="E3">
        <v>0.18</v>
      </c>
      <c r="F3">
        <v>0.17499999999999999</v>
      </c>
      <c r="G3">
        <v>0.25</v>
      </c>
      <c r="H3">
        <v>0.17</v>
      </c>
      <c r="I3">
        <v>-0.16</v>
      </c>
      <c r="J3">
        <v>-0.33</v>
      </c>
      <c r="K3" s="5">
        <v>-1.7500000000000002E-2</v>
      </c>
      <c r="L3">
        <v>28</v>
      </c>
      <c r="M3">
        <v>40</v>
      </c>
      <c r="N3">
        <v>68</v>
      </c>
      <c r="O3">
        <v>0.79</v>
      </c>
      <c r="P3">
        <v>0.81</v>
      </c>
      <c r="Q3" s="4">
        <v>79.602000000000004</v>
      </c>
      <c r="R3" s="4">
        <v>14.51014996</v>
      </c>
      <c r="S3" s="4">
        <v>10.17531099</v>
      </c>
      <c r="T3" s="3">
        <v>17627.394039999999</v>
      </c>
      <c r="U3">
        <v>6.29</v>
      </c>
      <c r="V3" s="2">
        <v>1.6388475447264631E-2</v>
      </c>
      <c r="W3">
        <v>0.50700000000000001</v>
      </c>
      <c r="X3">
        <v>0.39600000000000002</v>
      </c>
      <c r="Y3">
        <v>0.74199999999999999</v>
      </c>
      <c r="Z3">
        <v>0.67300000000000004</v>
      </c>
      <c r="AA3">
        <v>0.53700000000000003</v>
      </c>
      <c r="AB3">
        <v>0.41799999999999998</v>
      </c>
    </row>
    <row r="4" spans="1:28" x14ac:dyDescent="0.25">
      <c r="A4" t="s">
        <v>29</v>
      </c>
      <c r="B4">
        <v>2</v>
      </c>
      <c r="C4">
        <v>5.5709999999999997</v>
      </c>
      <c r="D4">
        <v>-0.98</v>
      </c>
      <c r="E4">
        <v>-0.57999999999999996</v>
      </c>
      <c r="F4">
        <v>-0.78</v>
      </c>
      <c r="G4">
        <v>-0.67</v>
      </c>
      <c r="H4">
        <v>-0.95</v>
      </c>
      <c r="I4">
        <v>-0.68</v>
      </c>
      <c r="J4">
        <v>-0.59</v>
      </c>
      <c r="K4" s="5">
        <v>-0.72250000000000003</v>
      </c>
      <c r="L4">
        <v>10</v>
      </c>
      <c r="M4">
        <v>22</v>
      </c>
      <c r="N4">
        <v>32</v>
      </c>
      <c r="O4">
        <v>0.56999999999999995</v>
      </c>
      <c r="P4">
        <v>0.76300000000000001</v>
      </c>
      <c r="Q4" s="4">
        <v>76.260999999999996</v>
      </c>
      <c r="R4" s="4">
        <v>15.4951601</v>
      </c>
      <c r="S4" s="4">
        <v>7.4163869870000001</v>
      </c>
      <c r="T4" s="3">
        <v>15114.17175</v>
      </c>
      <c r="U4">
        <v>7.84</v>
      </c>
      <c r="V4" s="2">
        <v>5.0379051040644329E-3</v>
      </c>
      <c r="W4">
        <v>0.25900000000000001</v>
      </c>
      <c r="X4">
        <v>0.11600000000000001</v>
      </c>
      <c r="Y4">
        <v>0.27500000000000002</v>
      </c>
      <c r="Z4">
        <v>0.67400000000000004</v>
      </c>
      <c r="AA4">
        <v>0.21099999999999999</v>
      </c>
      <c r="AB4">
        <v>0.44500000000000001</v>
      </c>
    </row>
    <row r="5" spans="1:28" x14ac:dyDescent="0.25">
      <c r="A5" t="s">
        <v>30</v>
      </c>
      <c r="B5">
        <v>3</v>
      </c>
      <c r="C5">
        <v>6.3970000000000002</v>
      </c>
      <c r="D5">
        <v>0.53</v>
      </c>
      <c r="E5">
        <v>-0.13</v>
      </c>
      <c r="F5">
        <v>0.2</v>
      </c>
      <c r="G5">
        <v>-0.38</v>
      </c>
      <c r="H5">
        <v>-0.48</v>
      </c>
      <c r="I5">
        <v>-0.41</v>
      </c>
      <c r="J5">
        <v>-0.36</v>
      </c>
      <c r="K5" s="5">
        <v>-0.40749999999999997</v>
      </c>
      <c r="L5">
        <v>35</v>
      </c>
      <c r="M5">
        <v>50</v>
      </c>
      <c r="N5">
        <v>85</v>
      </c>
      <c r="O5">
        <v>0.82</v>
      </c>
      <c r="P5">
        <v>0.86499999999999999</v>
      </c>
      <c r="Q5" s="4">
        <v>77.394999999999996</v>
      </c>
      <c r="R5" s="4">
        <v>18.831209179999998</v>
      </c>
      <c r="S5" s="4">
        <v>11.18458184</v>
      </c>
      <c r="T5" s="3">
        <v>25876.053070000002</v>
      </c>
      <c r="U5">
        <v>8.8699999999999992</v>
      </c>
      <c r="V5" s="2">
        <v>1.114693987182136E-2</v>
      </c>
      <c r="W5">
        <v>0.71199999999999997</v>
      </c>
      <c r="X5">
        <v>0.55300000000000005</v>
      </c>
      <c r="Y5">
        <v>0.76</v>
      </c>
      <c r="Z5">
        <v>0.73</v>
      </c>
      <c r="AA5">
        <v>0.59099999999999997</v>
      </c>
      <c r="AB5">
        <v>0.53500000000000003</v>
      </c>
    </row>
    <row r="6" spans="1:28" x14ac:dyDescent="0.25">
      <c r="A6" t="s">
        <v>31</v>
      </c>
      <c r="B6">
        <v>3</v>
      </c>
      <c r="C6">
        <v>5.4939999999999998</v>
      </c>
      <c r="D6">
        <v>0.08</v>
      </c>
      <c r="E6">
        <v>-0.83</v>
      </c>
      <c r="F6">
        <v>-0.375</v>
      </c>
      <c r="G6">
        <v>-0.18</v>
      </c>
      <c r="H6">
        <v>0.05</v>
      </c>
      <c r="I6">
        <v>-0.12</v>
      </c>
      <c r="J6">
        <v>0.06</v>
      </c>
      <c r="K6" s="5">
        <v>-4.7500000000000001E-2</v>
      </c>
      <c r="L6">
        <v>23</v>
      </c>
      <c r="M6">
        <v>31</v>
      </c>
      <c r="N6">
        <v>54</v>
      </c>
      <c r="O6">
        <v>0.8</v>
      </c>
      <c r="P6">
        <v>0.81100000000000005</v>
      </c>
      <c r="Q6" s="4">
        <v>75.683000000000007</v>
      </c>
      <c r="R6" s="4">
        <v>14.3838501</v>
      </c>
      <c r="S6" s="4">
        <v>11.344978210000001</v>
      </c>
      <c r="T6" s="3">
        <v>20220.723190000001</v>
      </c>
      <c r="U6">
        <v>12.15</v>
      </c>
      <c r="V6" s="2">
        <v>2.1809146146826611E-2</v>
      </c>
      <c r="W6">
        <v>0.623</v>
      </c>
      <c r="X6">
        <v>0.41399999999999998</v>
      </c>
      <c r="Y6">
        <v>0.61</v>
      </c>
      <c r="Z6">
        <v>0.80200000000000005</v>
      </c>
      <c r="AA6">
        <v>0.41099999999999998</v>
      </c>
      <c r="AB6">
        <v>0.68799999999999994</v>
      </c>
    </row>
    <row r="7" spans="1:28" x14ac:dyDescent="0.25">
      <c r="A7" t="s">
        <v>32</v>
      </c>
      <c r="B7">
        <v>4</v>
      </c>
      <c r="C7">
        <v>6.9740000000000002</v>
      </c>
      <c r="D7">
        <v>1.51</v>
      </c>
      <c r="E7">
        <v>0.92</v>
      </c>
      <c r="F7">
        <v>1.2150000000000001</v>
      </c>
      <c r="G7">
        <v>1.59</v>
      </c>
      <c r="H7">
        <v>1.94</v>
      </c>
      <c r="I7">
        <v>1.52</v>
      </c>
      <c r="J7">
        <v>1.78</v>
      </c>
      <c r="K7" s="5">
        <v>1.7075</v>
      </c>
      <c r="L7">
        <v>38</v>
      </c>
      <c r="M7">
        <v>57</v>
      </c>
      <c r="N7">
        <v>95</v>
      </c>
      <c r="O7">
        <v>0.89</v>
      </c>
      <c r="P7">
        <v>0.95799999999999996</v>
      </c>
      <c r="Q7" s="4">
        <v>83.923000000000002</v>
      </c>
      <c r="R7" s="4">
        <v>20.654779430000001</v>
      </c>
      <c r="S7" s="4">
        <v>12.869999890000001</v>
      </c>
      <c r="T7" s="3">
        <v>58276.876429999997</v>
      </c>
      <c r="U7">
        <v>6.6</v>
      </c>
      <c r="V7" s="2">
        <v>2.2859832220674781E-2</v>
      </c>
      <c r="W7">
        <v>0.85699999999999998</v>
      </c>
      <c r="X7">
        <v>0.80800000000000005</v>
      </c>
      <c r="Y7">
        <v>0.95699999999999996</v>
      </c>
      <c r="Z7">
        <v>0.84299999999999997</v>
      </c>
      <c r="AA7">
        <v>0.69499999999999995</v>
      </c>
      <c r="AB7">
        <v>0.92800000000000005</v>
      </c>
    </row>
    <row r="8" spans="1:28" x14ac:dyDescent="0.25">
      <c r="A8" t="s">
        <v>33</v>
      </c>
      <c r="B8">
        <v>3</v>
      </c>
      <c r="C8">
        <v>6.81</v>
      </c>
      <c r="D8">
        <v>1.41</v>
      </c>
      <c r="E8">
        <v>0.73</v>
      </c>
      <c r="F8">
        <v>1.07</v>
      </c>
      <c r="G8">
        <v>1.33</v>
      </c>
      <c r="H8">
        <v>1.36</v>
      </c>
      <c r="I8">
        <v>1.75</v>
      </c>
      <c r="J8">
        <v>1.1299999999999999</v>
      </c>
      <c r="K8" s="5">
        <v>1.3925000000000001</v>
      </c>
      <c r="L8">
        <v>37</v>
      </c>
      <c r="M8">
        <v>56</v>
      </c>
      <c r="N8">
        <v>93</v>
      </c>
      <c r="O8">
        <v>0.85</v>
      </c>
      <c r="P8">
        <v>0.93</v>
      </c>
      <c r="Q8" s="4">
        <v>81.956000000000003</v>
      </c>
      <c r="R8" s="4">
        <v>16.28428078</v>
      </c>
      <c r="S8" s="4">
        <v>12.36146506</v>
      </c>
      <c r="T8" s="3">
        <v>63479.208429999999</v>
      </c>
      <c r="U8">
        <v>6.31</v>
      </c>
      <c r="V8" s="2">
        <v>2.8012573562361202E-2</v>
      </c>
      <c r="W8">
        <v>0.83899999999999997</v>
      </c>
      <c r="X8">
        <v>0.76200000000000001</v>
      </c>
      <c r="Y8">
        <v>0.91800000000000004</v>
      </c>
      <c r="Z8">
        <v>0.86199999999999999</v>
      </c>
      <c r="AA8">
        <v>0.624</v>
      </c>
      <c r="AB8">
        <v>0.85099999999999998</v>
      </c>
    </row>
    <row r="9" spans="1:28" x14ac:dyDescent="0.25">
      <c r="A9" t="s">
        <v>34</v>
      </c>
      <c r="B9">
        <v>2</v>
      </c>
      <c r="C9">
        <v>4.875</v>
      </c>
      <c r="D9">
        <v>-1.41</v>
      </c>
      <c r="E9">
        <v>-0.73</v>
      </c>
      <c r="F9">
        <v>-1.07</v>
      </c>
      <c r="G9">
        <v>-0.03</v>
      </c>
      <c r="H9">
        <v>-0.11</v>
      </c>
      <c r="I9">
        <v>-0.56999999999999995</v>
      </c>
      <c r="J9">
        <v>-1.2</v>
      </c>
      <c r="K9" s="5">
        <v>-0.47749999999999998</v>
      </c>
      <c r="L9">
        <v>0</v>
      </c>
      <c r="M9">
        <v>7</v>
      </c>
      <c r="N9">
        <v>7</v>
      </c>
      <c r="P9">
        <v>0.78900000000000003</v>
      </c>
      <c r="Q9" s="4">
        <v>74.429000000000002</v>
      </c>
      <c r="R9" s="4">
        <v>12.90977955</v>
      </c>
      <c r="S9" s="4">
        <v>11.06999969</v>
      </c>
      <c r="T9" s="3">
        <v>20667.957289999998</v>
      </c>
      <c r="U9">
        <v>6.64</v>
      </c>
      <c r="V9" s="2">
        <v>2.0064235063089519E-2</v>
      </c>
      <c r="W9">
        <v>0.17499999999999999</v>
      </c>
      <c r="X9">
        <v>5.3999999999999999E-2</v>
      </c>
      <c r="Y9">
        <v>0.13300000000000001</v>
      </c>
      <c r="Z9">
        <v>0.34</v>
      </c>
      <c r="AA9">
        <v>0.10199999999999999</v>
      </c>
      <c r="AB9">
        <v>9.2999999999999999E-2</v>
      </c>
    </row>
    <row r="10" spans="1:28" x14ac:dyDescent="0.25">
      <c r="A10" t="s">
        <v>35</v>
      </c>
      <c r="B10">
        <v>1</v>
      </c>
      <c r="C10">
        <v>6.03</v>
      </c>
      <c r="D10">
        <v>-1.38</v>
      </c>
      <c r="E10">
        <v>-0.37</v>
      </c>
      <c r="F10">
        <v>-0.875</v>
      </c>
      <c r="G10">
        <v>0.7</v>
      </c>
      <c r="H10">
        <v>1.08</v>
      </c>
      <c r="I10">
        <v>0.47</v>
      </c>
      <c r="J10">
        <v>0.18</v>
      </c>
      <c r="K10" s="5">
        <v>0.60750000000000004</v>
      </c>
      <c r="L10">
        <v>2</v>
      </c>
      <c r="M10">
        <v>10</v>
      </c>
      <c r="N10">
        <v>12</v>
      </c>
      <c r="O10">
        <v>0.94</v>
      </c>
      <c r="P10">
        <v>0.89900000000000002</v>
      </c>
      <c r="Q10" s="4">
        <v>81.284000000000006</v>
      </c>
      <c r="R10" s="4">
        <v>15.92718983</v>
      </c>
      <c r="S10" s="4">
        <v>11.130000109999999</v>
      </c>
      <c r="T10" s="3">
        <v>52818.795380000003</v>
      </c>
      <c r="U10">
        <v>13</v>
      </c>
      <c r="V10" s="2">
        <v>8.048575100455202E-3</v>
      </c>
      <c r="W10">
        <v>0.124</v>
      </c>
      <c r="X10">
        <v>5.1999999999999998E-2</v>
      </c>
      <c r="Y10">
        <v>0.158</v>
      </c>
      <c r="Z10">
        <v>0.38500000000000001</v>
      </c>
      <c r="AA10">
        <v>0.115</v>
      </c>
      <c r="AB10">
        <v>0.158</v>
      </c>
    </row>
    <row r="11" spans="1:28" x14ac:dyDescent="0.25">
      <c r="A11" t="s">
        <v>36</v>
      </c>
      <c r="B11">
        <v>2</v>
      </c>
      <c r="C11">
        <v>3.851</v>
      </c>
      <c r="D11">
        <v>-0.75</v>
      </c>
      <c r="E11">
        <v>-0.91</v>
      </c>
      <c r="F11">
        <v>-0.83000000000000007</v>
      </c>
      <c r="G11">
        <v>-0.7</v>
      </c>
      <c r="H11">
        <v>-0.91</v>
      </c>
      <c r="I11">
        <v>-0.5</v>
      </c>
      <c r="J11">
        <v>-1.1200000000000001</v>
      </c>
      <c r="K11" s="5">
        <v>-0.8075</v>
      </c>
      <c r="L11">
        <v>15</v>
      </c>
      <c r="M11">
        <v>25</v>
      </c>
      <c r="N11">
        <v>40</v>
      </c>
      <c r="O11">
        <v>0.85</v>
      </c>
      <c r="P11">
        <v>0.68500000000000005</v>
      </c>
      <c r="Q11" s="4">
        <v>74.671999999999997</v>
      </c>
      <c r="R11" s="4">
        <v>12.31016827</v>
      </c>
      <c r="S11" s="4">
        <v>6.7899999619999996</v>
      </c>
      <c r="T11" s="3">
        <v>8497.6586389999993</v>
      </c>
      <c r="U11">
        <v>8.14</v>
      </c>
      <c r="V11" s="2">
        <v>5.4960357317846986E-3</v>
      </c>
      <c r="W11">
        <v>0.20100000000000001</v>
      </c>
      <c r="X11">
        <v>6.8000000000000005E-2</v>
      </c>
      <c r="Y11">
        <v>0.2</v>
      </c>
      <c r="Z11">
        <v>0.32300000000000001</v>
      </c>
      <c r="AA11">
        <v>0.24299999999999999</v>
      </c>
      <c r="AB11">
        <v>0.29299999999999998</v>
      </c>
    </row>
    <row r="12" spans="1:28" x14ac:dyDescent="0.25">
      <c r="A12" t="s">
        <v>37</v>
      </c>
      <c r="B12">
        <v>1</v>
      </c>
      <c r="C12">
        <v>5.03</v>
      </c>
      <c r="D12">
        <v>-1.67</v>
      </c>
      <c r="E12">
        <v>-0.73</v>
      </c>
      <c r="F12">
        <v>-1.2</v>
      </c>
      <c r="G12">
        <v>-0.99</v>
      </c>
      <c r="H12">
        <v>-1.42</v>
      </c>
      <c r="I12">
        <v>-1.25</v>
      </c>
      <c r="J12">
        <v>-0.67</v>
      </c>
      <c r="K12" s="5">
        <v>-1.0825</v>
      </c>
      <c r="L12">
        <v>2</v>
      </c>
      <c r="M12">
        <v>6</v>
      </c>
      <c r="N12">
        <v>8</v>
      </c>
      <c r="P12">
        <v>0.82399999999999995</v>
      </c>
      <c r="Q12" s="4">
        <v>74.433999999999997</v>
      </c>
      <c r="R12" s="4">
        <v>13.718810080000001</v>
      </c>
      <c r="S12" s="4">
        <v>12.335372980000001</v>
      </c>
      <c r="T12" s="3">
        <v>26724.870999999999</v>
      </c>
      <c r="U12">
        <v>7.67</v>
      </c>
      <c r="V12" s="2">
        <v>4.0989712207888163E-2</v>
      </c>
      <c r="W12">
        <v>0.161</v>
      </c>
      <c r="X12">
        <v>3.5999999999999997E-2</v>
      </c>
      <c r="Y12">
        <v>8.1000000000000003E-2</v>
      </c>
      <c r="Z12">
        <v>0.76400000000000001</v>
      </c>
      <c r="AA12">
        <v>0.14599999999999999</v>
      </c>
      <c r="AB12">
        <v>0.06</v>
      </c>
    </row>
    <row r="13" spans="1:28" x14ac:dyDescent="0.25">
      <c r="A13" t="s">
        <v>38</v>
      </c>
      <c r="B13">
        <v>4</v>
      </c>
      <c r="C13">
        <v>6.91</v>
      </c>
      <c r="D13">
        <v>1.33</v>
      </c>
      <c r="E13">
        <v>0.4</v>
      </c>
      <c r="F13">
        <v>0.86499999999999999</v>
      </c>
      <c r="G13">
        <v>1.04</v>
      </c>
      <c r="H13">
        <v>1.17</v>
      </c>
      <c r="I13">
        <v>1.3</v>
      </c>
      <c r="J13">
        <v>1.34</v>
      </c>
      <c r="K13" s="5">
        <v>1.2124999999999999</v>
      </c>
      <c r="L13">
        <v>39</v>
      </c>
      <c r="M13">
        <v>57</v>
      </c>
      <c r="N13">
        <v>96</v>
      </c>
      <c r="O13">
        <v>0.83</v>
      </c>
      <c r="P13">
        <v>0.95099999999999996</v>
      </c>
      <c r="Q13" s="4">
        <v>82.114999999999995</v>
      </c>
      <c r="R13" s="4">
        <v>18.996030810000001</v>
      </c>
      <c r="S13" s="4">
        <v>12.68965045</v>
      </c>
      <c r="T13" s="3">
        <v>63582.475350000001</v>
      </c>
      <c r="U13" t="s">
        <v>222</v>
      </c>
      <c r="V13" s="2">
        <v>8.4745490493021158E-3</v>
      </c>
      <c r="W13">
        <v>0.88600000000000001</v>
      </c>
      <c r="X13">
        <v>0.80500000000000005</v>
      </c>
      <c r="Y13">
        <v>0.90800000000000003</v>
      </c>
      <c r="Z13">
        <v>0.93</v>
      </c>
      <c r="AA13">
        <v>0.64300000000000002</v>
      </c>
      <c r="AB13">
        <v>0.88700000000000001</v>
      </c>
    </row>
    <row r="14" spans="1:28" x14ac:dyDescent="0.25">
      <c r="A14" t="s">
        <v>39</v>
      </c>
      <c r="C14">
        <v>6.7110000000000003</v>
      </c>
      <c r="D14">
        <v>0.54</v>
      </c>
      <c r="E14">
        <v>0.59</v>
      </c>
      <c r="F14">
        <v>0.56499999999999995</v>
      </c>
      <c r="G14">
        <v>-0.38</v>
      </c>
      <c r="H14">
        <v>-0.43</v>
      </c>
      <c r="I14">
        <v>-0.64</v>
      </c>
      <c r="J14">
        <v>-0.23</v>
      </c>
      <c r="K14" s="5">
        <v>-0.42</v>
      </c>
      <c r="L14">
        <v>34</v>
      </c>
      <c r="M14">
        <v>53</v>
      </c>
      <c r="N14">
        <v>87</v>
      </c>
      <c r="P14">
        <v>0.72099999999999997</v>
      </c>
      <c r="Q14" s="4">
        <v>73.566000000000003</v>
      </c>
      <c r="R14" s="4">
        <v>11.98379993</v>
      </c>
      <c r="S14" s="4">
        <v>8.7622900010000002</v>
      </c>
      <c r="T14" s="3">
        <v>12343.07814</v>
      </c>
      <c r="U14">
        <v>9.06</v>
      </c>
      <c r="V14" s="2">
        <v>3.4437002332226241E-2</v>
      </c>
      <c r="W14">
        <v>0.88600000000000001</v>
      </c>
      <c r="X14">
        <v>0.80500000000000005</v>
      </c>
      <c r="Y14">
        <v>0.90800000000000003</v>
      </c>
      <c r="Z14">
        <v>0.93</v>
      </c>
      <c r="AA14">
        <v>0.64300000000000002</v>
      </c>
      <c r="AB14">
        <v>0.88700000000000001</v>
      </c>
    </row>
    <row r="15" spans="1:28" x14ac:dyDescent="0.25">
      <c r="A15" t="s">
        <v>40</v>
      </c>
      <c r="B15">
        <v>2</v>
      </c>
      <c r="C15">
        <v>4.3570000000000002</v>
      </c>
      <c r="D15">
        <v>-0.22</v>
      </c>
      <c r="E15">
        <v>-0.35</v>
      </c>
      <c r="F15">
        <v>-0.28499999999999998</v>
      </c>
      <c r="G15">
        <v>-0.22</v>
      </c>
      <c r="H15">
        <v>-0.3</v>
      </c>
      <c r="I15">
        <v>-0.51</v>
      </c>
      <c r="J15">
        <v>-0.05</v>
      </c>
      <c r="K15" s="5">
        <v>-0.27</v>
      </c>
      <c r="L15">
        <v>19</v>
      </c>
      <c r="M15">
        <v>42</v>
      </c>
      <c r="N15">
        <v>61</v>
      </c>
      <c r="O15">
        <v>0.74</v>
      </c>
      <c r="P15">
        <v>0.51500000000000001</v>
      </c>
      <c r="Q15" s="4">
        <v>60.774000000000001</v>
      </c>
      <c r="R15" s="4">
        <v>10.446479800000001</v>
      </c>
      <c r="S15" s="4">
        <v>3.194200039</v>
      </c>
      <c r="T15" s="3">
        <v>3805.5275160000001</v>
      </c>
      <c r="U15">
        <v>11.3</v>
      </c>
      <c r="V15" s="2">
        <v>2.533809406289611E-2</v>
      </c>
      <c r="W15">
        <v>0.501</v>
      </c>
      <c r="X15">
        <v>0.32900000000000001</v>
      </c>
      <c r="Y15">
        <v>0.59199999999999997</v>
      </c>
      <c r="Z15">
        <v>0.754</v>
      </c>
      <c r="AA15">
        <v>0.49</v>
      </c>
      <c r="AB15">
        <v>0.54100000000000004</v>
      </c>
    </row>
    <row r="16" spans="1:28" x14ac:dyDescent="0.25">
      <c r="A16" t="s">
        <v>41</v>
      </c>
      <c r="B16">
        <v>3</v>
      </c>
      <c r="C16">
        <v>5.7670000000000003</v>
      </c>
      <c r="D16">
        <v>0.2</v>
      </c>
      <c r="E16">
        <v>0.98</v>
      </c>
      <c r="F16">
        <v>0.59</v>
      </c>
      <c r="G16">
        <v>0.56999999999999995</v>
      </c>
      <c r="H16">
        <v>-0.4</v>
      </c>
      <c r="I16">
        <v>0.67</v>
      </c>
      <c r="J16">
        <v>1.53</v>
      </c>
      <c r="K16" s="5">
        <v>0.59250000000000003</v>
      </c>
      <c r="L16">
        <v>30</v>
      </c>
      <c r="M16">
        <v>33</v>
      </c>
      <c r="N16">
        <v>63</v>
      </c>
      <c r="P16">
        <v>0.69799999999999995</v>
      </c>
      <c r="Q16" s="4">
        <v>72.974999999999994</v>
      </c>
      <c r="R16" s="4">
        <v>13.152741839999999</v>
      </c>
      <c r="S16" s="4">
        <v>5.8357946619999996</v>
      </c>
      <c r="T16" s="3">
        <v>13842.803529999999</v>
      </c>
      <c r="U16">
        <v>8.5399999999999991</v>
      </c>
      <c r="V16" s="2">
        <v>-8.2738375484472382E-3</v>
      </c>
      <c r="W16">
        <v>0.56100000000000005</v>
      </c>
      <c r="X16">
        <v>0.45400000000000001</v>
      </c>
      <c r="Y16">
        <v>0.78300000000000003</v>
      </c>
      <c r="Z16">
        <v>0.82599999999999996</v>
      </c>
      <c r="AA16">
        <v>0.54100000000000004</v>
      </c>
      <c r="AB16">
        <v>0.89900000000000002</v>
      </c>
    </row>
    <row r="17" spans="1:28" x14ac:dyDescent="0.25">
      <c r="A17" t="s">
        <v>42</v>
      </c>
      <c r="B17">
        <v>3</v>
      </c>
      <c r="C17">
        <v>5.8680000000000003</v>
      </c>
      <c r="D17">
        <v>-0.27</v>
      </c>
      <c r="E17">
        <v>-0.31</v>
      </c>
      <c r="F17">
        <v>-0.28999999999999998</v>
      </c>
      <c r="G17">
        <v>-0.64</v>
      </c>
      <c r="H17">
        <v>-1.18</v>
      </c>
      <c r="I17">
        <v>-1.22</v>
      </c>
      <c r="J17">
        <v>-0.84</v>
      </c>
      <c r="K17" s="5">
        <v>-0.97</v>
      </c>
      <c r="L17">
        <v>27</v>
      </c>
      <c r="M17">
        <v>39</v>
      </c>
      <c r="N17">
        <v>66</v>
      </c>
      <c r="O17">
        <v>0.87</v>
      </c>
      <c r="P17">
        <v>0.73299999999999998</v>
      </c>
      <c r="Q17" s="4">
        <v>68.581000000000003</v>
      </c>
      <c r="R17" s="4">
        <v>15.610650059999999</v>
      </c>
      <c r="S17" s="4">
        <v>10.021223190000001</v>
      </c>
      <c r="T17" s="3">
        <v>9445.2448679999998</v>
      </c>
      <c r="U17">
        <v>26.56</v>
      </c>
      <c r="V17" s="2">
        <v>4.6450840208637212E-2</v>
      </c>
      <c r="W17">
        <v>0.57599999999999996</v>
      </c>
      <c r="X17">
        <v>0.314</v>
      </c>
      <c r="Y17">
        <v>0.46100000000000002</v>
      </c>
      <c r="Z17">
        <v>0.59299999999999997</v>
      </c>
      <c r="AA17">
        <v>0.628</v>
      </c>
      <c r="AB17">
        <v>0.47299999999999998</v>
      </c>
    </row>
    <row r="18" spans="1:28" x14ac:dyDescent="0.25">
      <c r="A18" t="s">
        <v>43</v>
      </c>
      <c r="C18">
        <v>5.79</v>
      </c>
      <c r="D18">
        <v>-0.32</v>
      </c>
      <c r="E18">
        <v>-0.35</v>
      </c>
      <c r="F18">
        <v>-0.33500000000000002</v>
      </c>
      <c r="G18">
        <v>-0.97</v>
      </c>
      <c r="H18">
        <v>-0.14000000000000001</v>
      </c>
      <c r="I18">
        <v>-0.35</v>
      </c>
      <c r="J18">
        <v>-0.57999999999999996</v>
      </c>
      <c r="K18" s="5">
        <v>-0.51</v>
      </c>
      <c r="L18">
        <v>17</v>
      </c>
      <c r="M18">
        <v>34</v>
      </c>
      <c r="N18">
        <v>51</v>
      </c>
      <c r="O18">
        <v>0.746</v>
      </c>
      <c r="P18">
        <v>0.80400000000000005</v>
      </c>
      <c r="Q18" s="4">
        <v>77.849999999999994</v>
      </c>
      <c r="R18" s="4">
        <v>13.16394043</v>
      </c>
      <c r="S18" s="4">
        <v>10.97000027</v>
      </c>
      <c r="T18" s="3">
        <v>19827.48588</v>
      </c>
      <c r="U18">
        <v>7.42</v>
      </c>
      <c r="V18" s="2">
        <v>3.0707061955907999E-3</v>
      </c>
      <c r="W18">
        <v>0.50800000000000001</v>
      </c>
      <c r="X18">
        <v>0.34200000000000003</v>
      </c>
      <c r="Y18">
        <v>0.61299999999999999</v>
      </c>
      <c r="Z18">
        <v>0.65300000000000002</v>
      </c>
      <c r="AA18">
        <v>0.51700000000000002</v>
      </c>
      <c r="AB18">
        <v>0.61399999999999999</v>
      </c>
    </row>
    <row r="19" spans="1:28" x14ac:dyDescent="0.25">
      <c r="A19" t="s">
        <v>44</v>
      </c>
      <c r="B19">
        <v>3</v>
      </c>
      <c r="C19">
        <v>3.4380000000000002</v>
      </c>
      <c r="D19">
        <v>0.5</v>
      </c>
      <c r="E19">
        <v>1.04</v>
      </c>
      <c r="F19">
        <v>0.77</v>
      </c>
      <c r="G19">
        <v>0.43</v>
      </c>
      <c r="H19">
        <v>0.5</v>
      </c>
      <c r="I19">
        <v>0.39</v>
      </c>
      <c r="J19">
        <v>0.69</v>
      </c>
      <c r="K19" s="5">
        <v>0.50249999999999995</v>
      </c>
      <c r="L19">
        <v>28</v>
      </c>
      <c r="M19">
        <v>44</v>
      </c>
      <c r="N19">
        <v>72</v>
      </c>
      <c r="O19">
        <v>0.74</v>
      </c>
      <c r="P19">
        <v>0.73099999999999998</v>
      </c>
      <c r="Q19" s="4">
        <v>69.162999999999997</v>
      </c>
      <c r="R19" s="4">
        <v>11.425680160000001</v>
      </c>
      <c r="S19" s="4">
        <v>10.478</v>
      </c>
      <c r="T19" s="3">
        <v>16983.77103</v>
      </c>
      <c r="U19">
        <v>8.65</v>
      </c>
      <c r="V19" s="2">
        <v>1.43659247755874E-2</v>
      </c>
      <c r="W19">
        <v>0.59399999999999997</v>
      </c>
      <c r="X19">
        <v>0.47799999999999998</v>
      </c>
      <c r="Y19">
        <v>0.78600000000000003</v>
      </c>
      <c r="Z19">
        <v>0.67500000000000004</v>
      </c>
      <c r="AA19">
        <v>0.47799999999999998</v>
      </c>
      <c r="AB19">
        <v>0.42699999999999999</v>
      </c>
    </row>
    <row r="20" spans="1:28" x14ac:dyDescent="0.25">
      <c r="A20" t="s">
        <v>45</v>
      </c>
      <c r="B20">
        <v>3</v>
      </c>
      <c r="C20">
        <v>6.4939999999999998</v>
      </c>
      <c r="D20">
        <v>0.38</v>
      </c>
      <c r="E20">
        <v>-0.41</v>
      </c>
      <c r="F20">
        <v>-1.4999999999999991E-2</v>
      </c>
      <c r="G20">
        <v>-0.55000000000000004</v>
      </c>
      <c r="H20">
        <v>-0.3</v>
      </c>
      <c r="I20">
        <v>-0.31</v>
      </c>
      <c r="J20">
        <v>-0.5</v>
      </c>
      <c r="K20" s="5">
        <v>-0.41499999999999998</v>
      </c>
      <c r="L20">
        <v>30</v>
      </c>
      <c r="M20">
        <v>42</v>
      </c>
      <c r="N20">
        <v>72</v>
      </c>
      <c r="O20">
        <v>0.8</v>
      </c>
      <c r="P20">
        <v>0.78600000000000003</v>
      </c>
      <c r="Q20" s="4">
        <v>75.847999999999999</v>
      </c>
      <c r="R20" s="4">
        <v>15.7927103</v>
      </c>
      <c r="S20" s="4">
        <v>8.4253717520000002</v>
      </c>
      <c r="T20" s="3">
        <v>18011.285459999999</v>
      </c>
      <c r="U20">
        <v>8.77</v>
      </c>
      <c r="V20" s="2">
        <v>2.8270753354801E-2</v>
      </c>
      <c r="W20">
        <v>0.80100000000000005</v>
      </c>
      <c r="X20">
        <v>0.71199999999999997</v>
      </c>
      <c r="Y20">
        <v>0.9</v>
      </c>
      <c r="Z20">
        <v>0.61699999999999999</v>
      </c>
      <c r="AA20">
        <v>0.628</v>
      </c>
      <c r="AB20">
        <v>0.94399999999999995</v>
      </c>
    </row>
    <row r="21" spans="1:28" x14ac:dyDescent="0.25">
      <c r="A21" t="s">
        <v>46</v>
      </c>
      <c r="B21">
        <v>3</v>
      </c>
      <c r="C21">
        <v>5.5540000000000003</v>
      </c>
      <c r="D21">
        <v>0.39</v>
      </c>
      <c r="E21">
        <v>0.34</v>
      </c>
      <c r="F21">
        <v>0.36499999999999999</v>
      </c>
      <c r="G21">
        <v>0.05</v>
      </c>
      <c r="H21">
        <v>0.41</v>
      </c>
      <c r="I21">
        <v>-0.01</v>
      </c>
      <c r="J21">
        <v>-0.14000000000000001</v>
      </c>
      <c r="K21" s="5">
        <v>7.7499999999999986E-2</v>
      </c>
      <c r="L21">
        <v>32</v>
      </c>
      <c r="M21">
        <v>46</v>
      </c>
      <c r="N21">
        <v>78</v>
      </c>
      <c r="O21">
        <v>0.8</v>
      </c>
      <c r="P21">
        <v>0.84499999999999997</v>
      </c>
      <c r="Q21" s="4">
        <v>75.635999999999996</v>
      </c>
      <c r="R21" s="4">
        <v>15.3166399</v>
      </c>
      <c r="S21" s="4">
        <v>11.45453092</v>
      </c>
      <c r="T21" s="3">
        <v>32174.93003</v>
      </c>
      <c r="U21">
        <v>9.1300000000000008</v>
      </c>
      <c r="V21" s="2">
        <v>3.4840538044459408E-3</v>
      </c>
      <c r="W21">
        <v>0.64600000000000002</v>
      </c>
      <c r="X21">
        <v>0.50800000000000001</v>
      </c>
      <c r="Y21">
        <v>0.77</v>
      </c>
      <c r="Z21">
        <v>0.60299999999999998</v>
      </c>
      <c r="AA21">
        <v>0.66900000000000004</v>
      </c>
      <c r="AB21">
        <v>0.83699999999999997</v>
      </c>
    </row>
    <row r="22" spans="1:28" x14ac:dyDescent="0.25">
      <c r="A22" t="s">
        <v>47</v>
      </c>
      <c r="B22">
        <v>1</v>
      </c>
      <c r="C22">
        <v>4.383</v>
      </c>
      <c r="D22">
        <v>-0.81</v>
      </c>
      <c r="E22">
        <v>-2.04</v>
      </c>
      <c r="F22">
        <v>-1.425</v>
      </c>
      <c r="G22">
        <v>-0.83</v>
      </c>
      <c r="H22">
        <v>-0.49</v>
      </c>
      <c r="I22">
        <v>-0.74</v>
      </c>
      <c r="J22">
        <v>-0.17</v>
      </c>
      <c r="K22" s="5">
        <v>-0.55749999999999988</v>
      </c>
      <c r="L22">
        <v>3</v>
      </c>
      <c r="M22">
        <v>24</v>
      </c>
      <c r="N22">
        <v>27</v>
      </c>
      <c r="O22">
        <v>0.7</v>
      </c>
      <c r="P22">
        <v>0.45900000000000002</v>
      </c>
      <c r="Q22" s="4">
        <v>61.091999999999999</v>
      </c>
      <c r="R22" s="4">
        <v>8.7333402630000005</v>
      </c>
      <c r="S22" s="4">
        <v>2.266550064</v>
      </c>
      <c r="T22" s="3">
        <v>2390.5277780000001</v>
      </c>
      <c r="U22">
        <v>11.53</v>
      </c>
      <c r="V22" s="2">
        <v>6.685730514119248E-3</v>
      </c>
      <c r="W22">
        <v>0.156</v>
      </c>
      <c r="X22">
        <v>0.129</v>
      </c>
      <c r="Y22">
        <v>0.42</v>
      </c>
      <c r="Z22">
        <v>0.52500000000000002</v>
      </c>
      <c r="AA22">
        <v>0.39100000000000001</v>
      </c>
      <c r="AB22">
        <v>0.218</v>
      </c>
    </row>
    <row r="23" spans="1:28" x14ac:dyDescent="0.25">
      <c r="A23" t="s">
        <v>48</v>
      </c>
      <c r="B23">
        <v>2</v>
      </c>
      <c r="C23">
        <v>4.3410000000000002</v>
      </c>
      <c r="D23">
        <v>-1.29</v>
      </c>
      <c r="E23">
        <v>0.04</v>
      </c>
      <c r="F23">
        <v>-0.625</v>
      </c>
      <c r="G23">
        <v>-0.31</v>
      </c>
      <c r="H23">
        <v>-0.68</v>
      </c>
      <c r="I23">
        <v>-0.82</v>
      </c>
      <c r="J23">
        <v>-1.3</v>
      </c>
      <c r="K23" s="5">
        <v>-0.77750000000000008</v>
      </c>
      <c r="L23">
        <v>4</v>
      </c>
      <c r="M23">
        <v>19</v>
      </c>
      <c r="N23">
        <v>23</v>
      </c>
      <c r="O23">
        <v>0.96</v>
      </c>
      <c r="P23">
        <v>0.60599999999999998</v>
      </c>
      <c r="Q23" s="4">
        <v>70.668000000000006</v>
      </c>
      <c r="R23" s="4">
        <v>11.197892189999999</v>
      </c>
      <c r="S23" s="4">
        <v>5.197100163</v>
      </c>
      <c r="T23" s="3">
        <v>4931.016842</v>
      </c>
      <c r="U23">
        <v>10.71</v>
      </c>
      <c r="V23" s="2">
        <v>1.179398923312547E-2</v>
      </c>
      <c r="W23">
        <v>0.186</v>
      </c>
      <c r="X23">
        <v>5.6000000000000001E-2</v>
      </c>
      <c r="Y23">
        <v>0.13300000000000001</v>
      </c>
      <c r="Z23">
        <v>0.20599999999999999</v>
      </c>
      <c r="AA23">
        <v>0.20699999999999999</v>
      </c>
      <c r="AB23">
        <v>0.183</v>
      </c>
    </row>
    <row r="24" spans="1:28" x14ac:dyDescent="0.25">
      <c r="A24" t="s">
        <v>49</v>
      </c>
      <c r="B24">
        <v>2</v>
      </c>
      <c r="C24">
        <v>4.8869999999999996</v>
      </c>
      <c r="D24">
        <v>-1.07</v>
      </c>
      <c r="E24">
        <v>-1.4</v>
      </c>
      <c r="F24">
        <v>-1.2350000000000001</v>
      </c>
      <c r="G24">
        <v>-0.91</v>
      </c>
      <c r="H24">
        <v>-0.91</v>
      </c>
      <c r="I24">
        <v>-1.04</v>
      </c>
      <c r="J24">
        <v>-1.1599999999999999</v>
      </c>
      <c r="K24" s="5">
        <v>-1.0049999999999999</v>
      </c>
      <c r="L24">
        <v>6</v>
      </c>
      <c r="M24">
        <v>9</v>
      </c>
      <c r="N24">
        <v>15</v>
      </c>
      <c r="O24">
        <v>0.69</v>
      </c>
      <c r="P24">
        <v>0.58799999999999997</v>
      </c>
      <c r="Q24" s="4">
        <v>63.7</v>
      </c>
      <c r="R24" s="4">
        <v>10.79187965</v>
      </c>
      <c r="S24" s="4">
        <v>6.5741804119999996</v>
      </c>
      <c r="T24" s="3">
        <v>4746.2658199999996</v>
      </c>
      <c r="U24" t="s">
        <v>222</v>
      </c>
      <c r="V24" s="2">
        <v>2.3326575352144659E-2</v>
      </c>
      <c r="W24">
        <v>0.28599999999999998</v>
      </c>
      <c r="X24">
        <v>0.14000000000000001</v>
      </c>
      <c r="Y24">
        <v>0.33</v>
      </c>
      <c r="Z24">
        <v>0.51200000000000001</v>
      </c>
      <c r="AA24">
        <v>0.23899999999999999</v>
      </c>
      <c r="AB24">
        <v>0.23799999999999999</v>
      </c>
    </row>
    <row r="25" spans="1:28" x14ac:dyDescent="0.25">
      <c r="A25" t="s">
        <v>50</v>
      </c>
      <c r="B25">
        <v>3</v>
      </c>
      <c r="C25">
        <v>6.8029999999999999</v>
      </c>
      <c r="D25">
        <v>1.48</v>
      </c>
      <c r="E25">
        <v>0.82</v>
      </c>
      <c r="F25">
        <v>1.1499999999999999</v>
      </c>
      <c r="G25">
        <v>1.52</v>
      </c>
      <c r="H25">
        <v>1.64</v>
      </c>
      <c r="I25">
        <v>1.47</v>
      </c>
      <c r="J25">
        <v>1.67</v>
      </c>
      <c r="K25" s="5">
        <v>1.575</v>
      </c>
      <c r="L25">
        <v>39</v>
      </c>
      <c r="M25">
        <v>58</v>
      </c>
      <c r="N25">
        <v>97</v>
      </c>
      <c r="O25">
        <v>0.87</v>
      </c>
      <c r="P25">
        <v>0.93899999999999995</v>
      </c>
      <c r="Q25" s="4">
        <v>82.63</v>
      </c>
      <c r="R25" s="4">
        <v>15.88825989</v>
      </c>
      <c r="S25" s="4">
        <v>13.869999890000001</v>
      </c>
      <c r="T25" s="3">
        <v>54688.417289999998</v>
      </c>
      <c r="U25">
        <v>8.32</v>
      </c>
      <c r="V25" s="2">
        <v>8.0119563988386711E-3</v>
      </c>
      <c r="W25">
        <v>0.84199999999999997</v>
      </c>
      <c r="X25">
        <v>0.74399999999999999</v>
      </c>
      <c r="Y25">
        <v>0.88700000000000001</v>
      </c>
      <c r="Z25">
        <v>0.69899999999999995</v>
      </c>
      <c r="AA25">
        <v>0.63200000000000001</v>
      </c>
      <c r="AB25">
        <v>0.753</v>
      </c>
    </row>
    <row r="26" spans="1:28" x14ac:dyDescent="0.25">
      <c r="A26" t="s">
        <v>51</v>
      </c>
      <c r="B26">
        <v>2</v>
      </c>
      <c r="C26">
        <v>4.3840000000000003</v>
      </c>
      <c r="D26">
        <v>-1.43</v>
      </c>
      <c r="E26">
        <v>-1.56</v>
      </c>
      <c r="F26">
        <v>-1.4950000000000001</v>
      </c>
      <c r="G26">
        <v>-1.48</v>
      </c>
      <c r="H26">
        <v>-1.1599999999999999</v>
      </c>
      <c r="I26">
        <v>-1.35</v>
      </c>
      <c r="J26">
        <v>-1.48</v>
      </c>
      <c r="K26" s="5">
        <v>-1.3674999999999999</v>
      </c>
      <c r="L26">
        <v>1</v>
      </c>
      <c r="M26">
        <v>14</v>
      </c>
      <c r="N26">
        <v>15</v>
      </c>
      <c r="O26">
        <v>0.68</v>
      </c>
      <c r="P26">
        <v>0.41599999999999998</v>
      </c>
      <c r="Q26" s="4">
        <v>55.069000000000003</v>
      </c>
      <c r="R26" s="4">
        <v>8.3475902309999999</v>
      </c>
      <c r="S26" s="4">
        <v>2.334984892</v>
      </c>
      <c r="T26" s="3">
        <v>1748.000992</v>
      </c>
      <c r="U26">
        <v>9.14</v>
      </c>
      <c r="V26" s="2">
        <v>4.0280495219878754E-3</v>
      </c>
      <c r="W26">
        <v>0.20399999999999999</v>
      </c>
      <c r="X26">
        <v>5.3999999999999999E-2</v>
      </c>
      <c r="Y26">
        <v>0.11600000000000001</v>
      </c>
      <c r="Z26">
        <v>0.20200000000000001</v>
      </c>
      <c r="AA26">
        <v>0.34200000000000003</v>
      </c>
      <c r="AB26">
        <v>0.32100000000000001</v>
      </c>
    </row>
    <row r="27" spans="1:28" x14ac:dyDescent="0.25">
      <c r="A27" t="s">
        <v>52</v>
      </c>
      <c r="B27">
        <v>4</v>
      </c>
      <c r="C27">
        <v>6.3609999999999998</v>
      </c>
      <c r="D27">
        <v>1.02</v>
      </c>
      <c r="E27">
        <v>0.14000000000000001</v>
      </c>
      <c r="F27">
        <v>0.58000000000000007</v>
      </c>
      <c r="G27">
        <v>0.72</v>
      </c>
      <c r="H27">
        <v>0.93</v>
      </c>
      <c r="I27">
        <v>0.63</v>
      </c>
      <c r="J27">
        <v>0.97</v>
      </c>
      <c r="K27" s="5">
        <v>0.8125</v>
      </c>
      <c r="L27">
        <v>38</v>
      </c>
      <c r="M27">
        <v>56</v>
      </c>
      <c r="N27">
        <v>94</v>
      </c>
      <c r="O27">
        <v>0.79</v>
      </c>
      <c r="P27">
        <v>0.878</v>
      </c>
      <c r="Q27" s="4">
        <v>81.167000000000002</v>
      </c>
      <c r="R27" s="4">
        <v>16.912420269999998</v>
      </c>
      <c r="S27" s="4">
        <v>11.291053939999999</v>
      </c>
      <c r="T27" s="3">
        <v>28047.1698</v>
      </c>
      <c r="U27">
        <v>9.82</v>
      </c>
      <c r="V27" s="2">
        <v>3.3757340256051593E-2</v>
      </c>
      <c r="W27">
        <v>0.84399999999999997</v>
      </c>
      <c r="X27">
        <v>0.78700000000000003</v>
      </c>
      <c r="Y27">
        <v>0.94899999999999995</v>
      </c>
      <c r="Z27">
        <v>0.71899999999999997</v>
      </c>
      <c r="AA27">
        <v>0.64400000000000002</v>
      </c>
      <c r="AB27">
        <v>0.94</v>
      </c>
    </row>
    <row r="28" spans="1:28" x14ac:dyDescent="0.25">
      <c r="A28" t="s">
        <v>53</v>
      </c>
      <c r="B28">
        <v>1</v>
      </c>
      <c r="C28">
        <v>5.9210000000000003</v>
      </c>
      <c r="D28">
        <v>-1.5</v>
      </c>
      <c r="E28">
        <v>-0.51</v>
      </c>
      <c r="F28">
        <v>-1.0049999999999999</v>
      </c>
      <c r="G28">
        <v>0.68</v>
      </c>
      <c r="H28">
        <v>-0.36</v>
      </c>
      <c r="I28">
        <v>-0.04</v>
      </c>
      <c r="J28">
        <v>-0.01</v>
      </c>
      <c r="K28" s="5">
        <v>6.7500000000000018E-2</v>
      </c>
      <c r="L28">
        <v>-2</v>
      </c>
      <c r="M28">
        <v>11</v>
      </c>
      <c r="N28">
        <v>9</v>
      </c>
      <c r="O28">
        <v>0.88</v>
      </c>
      <c r="P28">
        <v>0.79700000000000004</v>
      </c>
      <c r="Q28" s="4">
        <v>77.953000000000003</v>
      </c>
      <c r="R28" s="4">
        <v>15.478749499999999</v>
      </c>
      <c r="S28" s="4">
        <v>8.0361815970000006</v>
      </c>
      <c r="T28" s="3">
        <v>22029.222529999999</v>
      </c>
      <c r="U28">
        <v>7.07</v>
      </c>
      <c r="V28" s="2">
        <v>-1.1003505219624451E-2</v>
      </c>
      <c r="W28">
        <v>7.2999999999999995E-2</v>
      </c>
      <c r="X28">
        <v>3.5999999999999997E-2</v>
      </c>
      <c r="Y28">
        <v>0.125</v>
      </c>
      <c r="Z28">
        <v>0.30199999999999999</v>
      </c>
      <c r="AA28">
        <v>0.1</v>
      </c>
      <c r="AB28">
        <v>0.22700000000000001</v>
      </c>
    </row>
    <row r="29" spans="1:28" x14ac:dyDescent="0.25">
      <c r="A29" t="s">
        <v>54</v>
      </c>
      <c r="B29">
        <v>3</v>
      </c>
      <c r="C29">
        <v>6.0039999999999996</v>
      </c>
      <c r="D29">
        <v>0.21</v>
      </c>
      <c r="E29">
        <v>-0.72</v>
      </c>
      <c r="F29">
        <v>-0.255</v>
      </c>
      <c r="G29">
        <v>-0.08</v>
      </c>
      <c r="H29">
        <v>0.1</v>
      </c>
      <c r="I29">
        <v>-0.46</v>
      </c>
      <c r="J29">
        <v>-0.31</v>
      </c>
      <c r="K29" s="5">
        <v>-0.1875</v>
      </c>
      <c r="L29">
        <v>31</v>
      </c>
      <c r="M29">
        <v>39</v>
      </c>
      <c r="N29">
        <v>70</v>
      </c>
      <c r="O29">
        <v>0.8</v>
      </c>
      <c r="P29">
        <v>0.78800000000000003</v>
      </c>
      <c r="Q29" s="4">
        <v>77.724999999999994</v>
      </c>
      <c r="R29" s="4">
        <v>14.286410330000001</v>
      </c>
      <c r="S29" s="4">
        <v>9.0315815970000006</v>
      </c>
      <c r="T29" s="3">
        <v>18665.949670000002</v>
      </c>
      <c r="U29" t="s">
        <v>222</v>
      </c>
      <c r="V29" s="2">
        <v>-2.047329959989241E-2</v>
      </c>
      <c r="W29">
        <v>0.70099999999999996</v>
      </c>
      <c r="X29">
        <v>0.55700000000000005</v>
      </c>
      <c r="Y29">
        <v>0.77900000000000003</v>
      </c>
      <c r="Z29">
        <v>0.52800000000000002</v>
      </c>
      <c r="AA29">
        <v>0.63400000000000001</v>
      </c>
      <c r="AB29">
        <v>0.64500000000000002</v>
      </c>
    </row>
    <row r="30" spans="1:28" x14ac:dyDescent="0.25">
      <c r="A30" t="s">
        <v>55</v>
      </c>
      <c r="B30">
        <v>2</v>
      </c>
      <c r="C30">
        <v>3.754</v>
      </c>
      <c r="D30">
        <v>-0.81</v>
      </c>
      <c r="E30">
        <v>-0.23</v>
      </c>
      <c r="F30">
        <v>-0.52</v>
      </c>
      <c r="G30">
        <v>-1.54</v>
      </c>
      <c r="H30">
        <v>-1.24</v>
      </c>
      <c r="I30">
        <v>-1.34</v>
      </c>
      <c r="J30">
        <v>-0.99</v>
      </c>
      <c r="K30" s="5">
        <v>-1.2775000000000001</v>
      </c>
      <c r="L30">
        <v>16</v>
      </c>
      <c r="M30">
        <v>26</v>
      </c>
      <c r="N30">
        <v>42</v>
      </c>
      <c r="O30">
        <v>0.47</v>
      </c>
      <c r="P30">
        <v>0.60299999999999998</v>
      </c>
      <c r="Q30" s="4">
        <v>66.777000000000001</v>
      </c>
      <c r="R30" s="4">
        <v>13.29446063</v>
      </c>
      <c r="S30" s="4">
        <v>6.0068402289999998</v>
      </c>
      <c r="T30" s="3">
        <v>3481.1214399999999</v>
      </c>
      <c r="U30" t="s">
        <v>222</v>
      </c>
      <c r="V30" s="2">
        <v>6.2962257623997653E-2</v>
      </c>
      <c r="W30">
        <v>0.28199999999999997</v>
      </c>
      <c r="X30">
        <v>0.107</v>
      </c>
      <c r="Y30">
        <v>0.22800000000000001</v>
      </c>
      <c r="Z30">
        <v>0.60199999999999998</v>
      </c>
      <c r="AA30">
        <v>0.52100000000000002</v>
      </c>
      <c r="AB30">
        <v>0.42499999999999999</v>
      </c>
    </row>
    <row r="31" spans="1:28" x14ac:dyDescent="0.25">
      <c r="A31" t="s">
        <v>56</v>
      </c>
      <c r="B31">
        <v>2</v>
      </c>
      <c r="C31">
        <v>5.351</v>
      </c>
      <c r="D31">
        <v>-1.1499999999999999</v>
      </c>
      <c r="E31">
        <v>0.02</v>
      </c>
      <c r="F31">
        <v>-0.56499999999999995</v>
      </c>
      <c r="G31">
        <v>-1.33</v>
      </c>
      <c r="H31">
        <v>-1.24</v>
      </c>
      <c r="I31">
        <v>-1.02</v>
      </c>
      <c r="J31">
        <v>-1.35</v>
      </c>
      <c r="K31" s="5">
        <v>-1.2350000000000001</v>
      </c>
      <c r="L31">
        <v>2</v>
      </c>
      <c r="M31">
        <v>15</v>
      </c>
      <c r="N31">
        <v>17</v>
      </c>
      <c r="O31">
        <v>0.73</v>
      </c>
      <c r="P31">
        <v>0.64900000000000002</v>
      </c>
      <c r="Q31" s="4">
        <v>65.772000000000006</v>
      </c>
      <c r="R31" s="4">
        <v>12.681947109999999</v>
      </c>
      <c r="S31" s="4">
        <v>8.3226447920000002</v>
      </c>
      <c r="T31" s="3">
        <v>5902.5990659999998</v>
      </c>
      <c r="U31">
        <v>9.27</v>
      </c>
      <c r="V31" s="2">
        <v>3.919345409632069E-2</v>
      </c>
      <c r="W31">
        <v>0.254</v>
      </c>
      <c r="X31">
        <v>0.11700000000000001</v>
      </c>
      <c r="Y31">
        <v>0.28499999999999998</v>
      </c>
      <c r="Z31">
        <v>0.35899999999999999</v>
      </c>
      <c r="AA31">
        <v>0.54200000000000004</v>
      </c>
      <c r="AB31">
        <v>0.441</v>
      </c>
    </row>
    <row r="32" spans="1:28" x14ac:dyDescent="0.25">
      <c r="A32" t="s">
        <v>57</v>
      </c>
      <c r="B32">
        <v>2</v>
      </c>
      <c r="C32">
        <v>4.42</v>
      </c>
      <c r="D32">
        <v>-1.21</v>
      </c>
      <c r="E32">
        <v>-2.04</v>
      </c>
      <c r="F32">
        <v>-1.625</v>
      </c>
      <c r="G32">
        <v>-1.69</v>
      </c>
      <c r="H32">
        <v>-1.41</v>
      </c>
      <c r="I32">
        <v>-1.67</v>
      </c>
      <c r="J32">
        <v>-1.48</v>
      </c>
      <c r="K32" s="5">
        <v>-1.5625</v>
      </c>
      <c r="L32">
        <v>4</v>
      </c>
      <c r="M32">
        <v>15</v>
      </c>
      <c r="N32">
        <v>19</v>
      </c>
      <c r="O32">
        <v>0.66400000000000003</v>
      </c>
      <c r="P32">
        <v>0.64900000000000002</v>
      </c>
      <c r="Q32" s="4">
        <v>65.772000000000006</v>
      </c>
      <c r="R32" s="4">
        <v>12.681947109999999</v>
      </c>
      <c r="S32" s="4">
        <v>8.3226447920000002</v>
      </c>
      <c r="T32" s="3">
        <v>5902.5990659999998</v>
      </c>
      <c r="U32">
        <v>10.67</v>
      </c>
      <c r="V32" s="2">
        <v>-1.92404975893774E-2</v>
      </c>
      <c r="W32">
        <v>0.32700000000000001</v>
      </c>
      <c r="X32">
        <v>0.13300000000000001</v>
      </c>
      <c r="Y32">
        <v>0.26900000000000002</v>
      </c>
      <c r="Z32">
        <v>0.41799999999999998</v>
      </c>
      <c r="AA32">
        <v>0.377</v>
      </c>
      <c r="AB32">
        <v>0.54900000000000004</v>
      </c>
    </row>
    <row r="33" spans="1:28" x14ac:dyDescent="0.25">
      <c r="A33" t="s">
        <v>58</v>
      </c>
      <c r="B33">
        <v>4</v>
      </c>
      <c r="C33">
        <v>7.274</v>
      </c>
      <c r="D33">
        <v>1.07</v>
      </c>
      <c r="E33">
        <v>0.98</v>
      </c>
      <c r="F33">
        <v>1.0249999999999999</v>
      </c>
      <c r="G33">
        <v>0.26</v>
      </c>
      <c r="H33">
        <v>0.54</v>
      </c>
      <c r="I33">
        <v>0.39</v>
      </c>
      <c r="J33">
        <v>0.65</v>
      </c>
      <c r="K33" s="5">
        <v>0.46</v>
      </c>
      <c r="L33">
        <v>38</v>
      </c>
      <c r="M33">
        <v>53</v>
      </c>
      <c r="N33">
        <v>91</v>
      </c>
      <c r="O33">
        <v>0.9</v>
      </c>
      <c r="P33">
        <v>0.83299999999999996</v>
      </c>
      <c r="Q33" s="4">
        <v>80.799000000000007</v>
      </c>
      <c r="R33" s="4">
        <v>16.349636870000001</v>
      </c>
      <c r="S33" s="4">
        <v>8.8447524990000002</v>
      </c>
      <c r="T33" s="3">
        <v>23417.21315</v>
      </c>
      <c r="U33">
        <v>6.86</v>
      </c>
      <c r="V33" s="2">
        <v>-2.2305164457936399E-4</v>
      </c>
      <c r="W33">
        <v>0.85899999999999999</v>
      </c>
      <c r="X33">
        <v>0.80500000000000005</v>
      </c>
      <c r="Y33">
        <v>0.95199999999999996</v>
      </c>
      <c r="Z33">
        <v>0.88500000000000001</v>
      </c>
      <c r="AA33">
        <v>0.64100000000000001</v>
      </c>
      <c r="AB33">
        <v>0.93100000000000005</v>
      </c>
    </row>
    <row r="34" spans="1:28" x14ac:dyDescent="0.25">
      <c r="A34" t="s">
        <v>59</v>
      </c>
      <c r="B34">
        <v>3</v>
      </c>
      <c r="C34">
        <v>5.87</v>
      </c>
      <c r="D34">
        <v>0.56999999999999995</v>
      </c>
      <c r="E34">
        <v>0.6</v>
      </c>
      <c r="F34">
        <v>0.58499999999999996</v>
      </c>
      <c r="G34">
        <v>0.71</v>
      </c>
      <c r="H34">
        <v>0.64</v>
      </c>
      <c r="I34">
        <v>0.36</v>
      </c>
      <c r="J34">
        <v>0.18</v>
      </c>
      <c r="K34" s="5">
        <v>0.47249999999999998</v>
      </c>
      <c r="L34">
        <v>34</v>
      </c>
      <c r="M34">
        <v>49</v>
      </c>
      <c r="N34">
        <v>83</v>
      </c>
      <c r="O34">
        <v>0.76</v>
      </c>
      <c r="P34">
        <v>0.88900000000000001</v>
      </c>
      <c r="Q34" s="4">
        <v>78.58</v>
      </c>
      <c r="R34" s="4">
        <v>16.34815025</v>
      </c>
      <c r="S34" s="4">
        <v>12.0951217</v>
      </c>
      <c r="T34" s="3">
        <v>41379.890270000004</v>
      </c>
      <c r="U34" t="s">
        <v>222</v>
      </c>
      <c r="V34" s="2">
        <v>-2.3061686384075238E-2</v>
      </c>
      <c r="W34">
        <v>0.72299999999999998</v>
      </c>
      <c r="X34">
        <v>0.61899999999999999</v>
      </c>
      <c r="Y34">
        <v>0.86199999999999999</v>
      </c>
      <c r="Z34">
        <v>0.77900000000000003</v>
      </c>
      <c r="AA34">
        <v>0.624</v>
      </c>
      <c r="AB34">
        <v>0.68100000000000005</v>
      </c>
    </row>
    <row r="35" spans="1:28" x14ac:dyDescent="0.25">
      <c r="A35" t="s">
        <v>60</v>
      </c>
      <c r="B35">
        <v>3</v>
      </c>
      <c r="C35">
        <v>5.9420000000000002</v>
      </c>
      <c r="D35">
        <v>0.97</v>
      </c>
      <c r="E35">
        <v>0.41</v>
      </c>
      <c r="F35">
        <v>0.69</v>
      </c>
      <c r="G35">
        <v>0.74</v>
      </c>
      <c r="H35">
        <v>0.78</v>
      </c>
      <c r="I35">
        <v>0.63</v>
      </c>
      <c r="J35">
        <v>0.33</v>
      </c>
      <c r="K35" s="5">
        <v>0.62</v>
      </c>
      <c r="L35">
        <v>38</v>
      </c>
      <c r="M35">
        <v>54</v>
      </c>
      <c r="N35">
        <v>92</v>
      </c>
      <c r="O35">
        <v>0.72</v>
      </c>
      <c r="P35">
        <v>0.91300000000000003</v>
      </c>
      <c r="Q35" s="4">
        <v>81.647999999999996</v>
      </c>
      <c r="R35" s="4">
        <v>16.215599059999999</v>
      </c>
      <c r="S35" s="4">
        <v>12.5573721</v>
      </c>
      <c r="T35" s="3">
        <v>45394.15625</v>
      </c>
      <c r="U35">
        <v>17.649999999999999</v>
      </c>
      <c r="V35" s="2">
        <v>5.4085478491994188E-4</v>
      </c>
      <c r="W35">
        <v>0.77400000000000002</v>
      </c>
      <c r="X35">
        <v>0.65100000000000002</v>
      </c>
      <c r="Y35">
        <v>0.83899999999999997</v>
      </c>
      <c r="Z35">
        <v>0.90200000000000002</v>
      </c>
      <c r="AA35">
        <v>0.56599999999999995</v>
      </c>
      <c r="AB35">
        <v>0.83099999999999996</v>
      </c>
    </row>
    <row r="36" spans="1:28" x14ac:dyDescent="0.25">
      <c r="A36" t="s">
        <v>61</v>
      </c>
      <c r="B36">
        <v>4</v>
      </c>
      <c r="C36">
        <v>6.7750000000000004</v>
      </c>
      <c r="D36">
        <v>1.08</v>
      </c>
      <c r="E36">
        <v>0.97</v>
      </c>
      <c r="F36">
        <v>1.0249999999999999</v>
      </c>
      <c r="G36">
        <v>1.1100000000000001</v>
      </c>
      <c r="H36">
        <v>1.3</v>
      </c>
      <c r="I36">
        <v>1.1399999999999999</v>
      </c>
      <c r="J36">
        <v>0.77</v>
      </c>
      <c r="K36" s="5">
        <v>1.08</v>
      </c>
      <c r="L36">
        <v>36</v>
      </c>
      <c r="M36">
        <v>58</v>
      </c>
      <c r="N36">
        <v>94</v>
      </c>
      <c r="O36">
        <v>0.73199999999999998</v>
      </c>
      <c r="P36">
        <v>0.41399999999999998</v>
      </c>
      <c r="Q36" s="4">
        <v>57.408000000000001</v>
      </c>
      <c r="R36" s="4">
        <v>7.4357677779999998</v>
      </c>
      <c r="S36" s="4">
        <v>3.989431459</v>
      </c>
      <c r="T36" s="3">
        <v>1099.8606810000001</v>
      </c>
      <c r="U36">
        <v>7.89</v>
      </c>
      <c r="V36" s="2"/>
      <c r="W36">
        <v>0.87</v>
      </c>
      <c r="X36">
        <v>0.81699999999999995</v>
      </c>
      <c r="Y36">
        <v>0.95199999999999996</v>
      </c>
      <c r="Z36">
        <v>0.91</v>
      </c>
      <c r="AA36">
        <v>0.59</v>
      </c>
      <c r="AB36">
        <v>0.873</v>
      </c>
    </row>
    <row r="37" spans="1:28" x14ac:dyDescent="0.25">
      <c r="A37" t="s">
        <v>62</v>
      </c>
      <c r="B37">
        <v>4</v>
      </c>
      <c r="C37">
        <v>7.5209999999999999</v>
      </c>
      <c r="D37">
        <v>1.66</v>
      </c>
      <c r="E37">
        <v>0.85</v>
      </c>
      <c r="F37">
        <v>1.2549999999999999</v>
      </c>
      <c r="G37">
        <v>2.02</v>
      </c>
      <c r="H37">
        <v>1.84</v>
      </c>
      <c r="I37">
        <v>1.91</v>
      </c>
      <c r="J37">
        <v>2.38</v>
      </c>
      <c r="K37" s="5">
        <v>2.0375000000000001</v>
      </c>
      <c r="L37">
        <v>40</v>
      </c>
      <c r="M37">
        <v>57</v>
      </c>
      <c r="N37">
        <v>97</v>
      </c>
      <c r="O37">
        <v>0.93</v>
      </c>
      <c r="P37">
        <v>0.96199999999999997</v>
      </c>
      <c r="Q37" s="4">
        <v>81.933000000000007</v>
      </c>
      <c r="R37" s="4">
        <v>18.704010010000001</v>
      </c>
      <c r="S37" s="4">
        <v>13.027320599999999</v>
      </c>
      <c r="T37" s="3">
        <v>76007.856690000001</v>
      </c>
      <c r="U37">
        <v>12.02</v>
      </c>
      <c r="V37" s="2">
        <v>9.8347340535288597E-3</v>
      </c>
      <c r="W37">
        <v>0.91600000000000004</v>
      </c>
      <c r="X37">
        <v>0.88300000000000001</v>
      </c>
      <c r="Y37">
        <v>0.97599999999999998</v>
      </c>
      <c r="Z37">
        <v>0.97</v>
      </c>
      <c r="AA37">
        <v>0.71299999999999997</v>
      </c>
      <c r="AB37">
        <v>0.96499999999999997</v>
      </c>
    </row>
    <row r="38" spans="1:28" x14ac:dyDescent="0.25">
      <c r="A38" t="s">
        <v>63</v>
      </c>
      <c r="B38">
        <v>3</v>
      </c>
      <c r="C38">
        <v>5.8460000000000001</v>
      </c>
      <c r="D38">
        <v>0.33</v>
      </c>
      <c r="E38">
        <v>0.24</v>
      </c>
      <c r="F38">
        <v>0.28499999999999998</v>
      </c>
      <c r="G38">
        <v>0.13</v>
      </c>
      <c r="H38">
        <v>0.17</v>
      </c>
      <c r="I38">
        <v>-0.13</v>
      </c>
      <c r="J38">
        <v>-0.45</v>
      </c>
      <c r="K38" s="5">
        <v>-6.9999999999999993E-2</v>
      </c>
      <c r="L38">
        <v>27</v>
      </c>
      <c r="M38">
        <v>41</v>
      </c>
      <c r="N38">
        <v>68</v>
      </c>
      <c r="O38">
        <v>0.85</v>
      </c>
      <c r="P38">
        <v>0.76100000000000001</v>
      </c>
      <c r="Q38" s="4">
        <v>71.132000000000005</v>
      </c>
      <c r="R38" s="4">
        <v>14.150999669999999</v>
      </c>
      <c r="S38" s="4">
        <v>10.12508965</v>
      </c>
      <c r="T38" s="3">
        <v>16001.12551</v>
      </c>
      <c r="U38">
        <v>12.59</v>
      </c>
      <c r="V38" s="2">
        <v>-1.434377042974266E-2</v>
      </c>
      <c r="W38">
        <v>0.70499999999999996</v>
      </c>
      <c r="X38">
        <v>0.45</v>
      </c>
      <c r="Y38">
        <v>0.57099999999999995</v>
      </c>
      <c r="Z38">
        <v>0.47099999999999997</v>
      </c>
      <c r="AA38">
        <v>0.59499999999999997</v>
      </c>
      <c r="AB38">
        <v>0.81799999999999995</v>
      </c>
    </row>
    <row r="39" spans="1:28" x14ac:dyDescent="0.25">
      <c r="A39" t="s">
        <v>64</v>
      </c>
      <c r="B39">
        <v>3</v>
      </c>
      <c r="C39">
        <v>5.9649999999999999</v>
      </c>
      <c r="D39">
        <v>-0.06</v>
      </c>
      <c r="E39">
        <v>-0.34</v>
      </c>
      <c r="F39">
        <v>-0.2</v>
      </c>
      <c r="G39">
        <v>-0.49</v>
      </c>
      <c r="H39">
        <v>-0.72</v>
      </c>
      <c r="I39">
        <v>-0.96</v>
      </c>
      <c r="J39">
        <v>-0.65</v>
      </c>
      <c r="K39" s="5">
        <v>-0.70499999999999996</v>
      </c>
      <c r="L39">
        <v>29</v>
      </c>
      <c r="M39">
        <v>38</v>
      </c>
      <c r="N39">
        <v>67</v>
      </c>
      <c r="O39">
        <v>0.8</v>
      </c>
      <c r="P39">
        <v>0.77700000000000002</v>
      </c>
      <c r="Q39" s="4">
        <v>77.391999999999996</v>
      </c>
      <c r="R39" s="4">
        <v>14.85167027</v>
      </c>
      <c r="S39" s="4">
        <v>8.9700002669999996</v>
      </c>
      <c r="T39" s="3">
        <v>13986.39698</v>
      </c>
      <c r="U39">
        <v>17</v>
      </c>
      <c r="V39" s="2">
        <v>4.781051192803587E-2</v>
      </c>
      <c r="W39">
        <v>0.65100000000000002</v>
      </c>
      <c r="X39">
        <v>0.44600000000000001</v>
      </c>
      <c r="Y39">
        <v>0.63900000000000001</v>
      </c>
      <c r="Z39">
        <v>0.36599999999999999</v>
      </c>
      <c r="AA39">
        <v>0.754</v>
      </c>
      <c r="AB39">
        <v>0.442</v>
      </c>
    </row>
    <row r="40" spans="1:28" x14ac:dyDescent="0.25">
      <c r="A40" t="s">
        <v>65</v>
      </c>
      <c r="B40">
        <v>2</v>
      </c>
      <c r="C40">
        <v>4.17</v>
      </c>
      <c r="D40">
        <v>-1.38</v>
      </c>
      <c r="E40">
        <v>-0.87</v>
      </c>
      <c r="F40">
        <v>-1.125</v>
      </c>
      <c r="G40">
        <v>-0.24</v>
      </c>
      <c r="H40">
        <v>-0.67</v>
      </c>
      <c r="I40">
        <v>-0.18</v>
      </c>
      <c r="J40">
        <v>-0.75</v>
      </c>
      <c r="K40" s="5">
        <v>-0.46</v>
      </c>
      <c r="L40">
        <v>6</v>
      </c>
      <c r="M40">
        <v>12</v>
      </c>
      <c r="N40">
        <v>18</v>
      </c>
      <c r="O40">
        <v>0.73199999999999998</v>
      </c>
      <c r="P40">
        <v>0.754</v>
      </c>
      <c r="Q40" s="4">
        <v>71.632999999999996</v>
      </c>
      <c r="R40" s="4">
        <v>13.12716193</v>
      </c>
      <c r="S40" s="4">
        <v>10.136119620000001</v>
      </c>
      <c r="T40" s="3">
        <v>16218.13521</v>
      </c>
      <c r="U40">
        <v>35.85</v>
      </c>
      <c r="V40" s="2">
        <v>9.3520176209278272E-2</v>
      </c>
      <c r="W40">
        <v>0.186</v>
      </c>
      <c r="X40">
        <v>0.129</v>
      </c>
      <c r="Y40">
        <v>0.39100000000000001</v>
      </c>
      <c r="Z40">
        <v>0.32800000000000001</v>
      </c>
      <c r="AA40">
        <v>0.214</v>
      </c>
      <c r="AB40">
        <v>0.30399999999999999</v>
      </c>
    </row>
    <row r="41" spans="1:28" x14ac:dyDescent="0.25">
      <c r="A41" t="s">
        <v>66</v>
      </c>
      <c r="B41">
        <v>2</v>
      </c>
      <c r="C41">
        <v>6.492</v>
      </c>
      <c r="D41">
        <v>-0.47</v>
      </c>
      <c r="E41">
        <v>0</v>
      </c>
      <c r="F41">
        <v>-0.23499999999999999</v>
      </c>
      <c r="G41">
        <v>0.05</v>
      </c>
      <c r="H41">
        <v>-0.31</v>
      </c>
      <c r="I41">
        <v>-0.37</v>
      </c>
      <c r="J41">
        <v>-0.56000000000000005</v>
      </c>
      <c r="K41" s="5">
        <v>-0.29749999999999999</v>
      </c>
      <c r="L41">
        <v>21</v>
      </c>
      <c r="M41">
        <v>32</v>
      </c>
      <c r="N41">
        <v>53</v>
      </c>
      <c r="O41">
        <v>0.92</v>
      </c>
      <c r="P41">
        <v>0.67800000000000005</v>
      </c>
      <c r="Q41" s="4">
        <v>72.099000000000004</v>
      </c>
      <c r="R41" s="4">
        <v>11.11291027</v>
      </c>
      <c r="S41" s="4">
        <v>7.3000001909999996</v>
      </c>
      <c r="T41" s="3">
        <v>10594.84201</v>
      </c>
      <c r="U41" t="s">
        <v>222</v>
      </c>
      <c r="V41" s="2">
        <v>-9.526355515114493E-3</v>
      </c>
      <c r="W41">
        <v>0.33900000000000002</v>
      </c>
      <c r="X41">
        <v>9.1999999999999998E-2</v>
      </c>
      <c r="Y41">
        <v>0.13700000000000001</v>
      </c>
      <c r="Z41">
        <v>0.26400000000000001</v>
      </c>
      <c r="AA41">
        <v>0.45100000000000001</v>
      </c>
      <c r="AB41">
        <v>0.26800000000000002</v>
      </c>
    </row>
    <row r="42" spans="1:28" x14ac:dyDescent="0.25">
      <c r="A42" t="s">
        <v>67</v>
      </c>
      <c r="B42">
        <v>4</v>
      </c>
      <c r="C42">
        <v>6.4169999999999998</v>
      </c>
      <c r="D42">
        <v>1.22</v>
      </c>
      <c r="E42">
        <v>0.66</v>
      </c>
      <c r="F42">
        <v>0.94</v>
      </c>
      <c r="G42">
        <v>1.26</v>
      </c>
      <c r="H42">
        <v>1.43</v>
      </c>
      <c r="I42">
        <v>1.43</v>
      </c>
      <c r="J42">
        <v>1.54</v>
      </c>
      <c r="K42" s="5">
        <v>1.415</v>
      </c>
      <c r="L42">
        <v>38</v>
      </c>
      <c r="M42">
        <v>57</v>
      </c>
      <c r="N42">
        <v>95</v>
      </c>
      <c r="O42">
        <v>0.93</v>
      </c>
      <c r="P42">
        <v>0.90500000000000003</v>
      </c>
      <c r="Q42" s="4">
        <v>79.153000000000006</v>
      </c>
      <c r="R42" s="4">
        <v>15.96786022</v>
      </c>
      <c r="S42" s="4">
        <v>13.562165970000001</v>
      </c>
      <c r="T42" s="3">
        <v>40880.930439999996</v>
      </c>
      <c r="U42">
        <v>10.3</v>
      </c>
      <c r="V42" s="2">
        <v>-9.1760322392775429E-5</v>
      </c>
      <c r="W42">
        <v>0.89500000000000002</v>
      </c>
      <c r="X42">
        <v>0.85</v>
      </c>
      <c r="Y42">
        <v>0.96099999999999997</v>
      </c>
      <c r="Z42">
        <v>0.90100000000000002</v>
      </c>
      <c r="AA42">
        <v>0.63400000000000001</v>
      </c>
      <c r="AB42">
        <v>0.86799999999999999</v>
      </c>
    </row>
    <row r="43" spans="1:28" x14ac:dyDescent="0.25">
      <c r="A43" t="s">
        <v>68</v>
      </c>
      <c r="B43">
        <v>3</v>
      </c>
      <c r="C43">
        <v>3.8980000000000001</v>
      </c>
      <c r="D43">
        <v>-1.06</v>
      </c>
      <c r="E43">
        <v>-1.97</v>
      </c>
      <c r="F43">
        <v>-1.5149999999999999</v>
      </c>
      <c r="G43">
        <v>-0.77</v>
      </c>
      <c r="H43">
        <v>-1.02</v>
      </c>
      <c r="I43">
        <v>-0.67</v>
      </c>
      <c r="J43">
        <v>-0.47</v>
      </c>
      <c r="K43" s="5">
        <v>-0.73249999999999993</v>
      </c>
      <c r="L43">
        <v>10</v>
      </c>
      <c r="M43">
        <v>10</v>
      </c>
      <c r="N43">
        <v>20</v>
      </c>
      <c r="O43">
        <v>0.72</v>
      </c>
      <c r="P43">
        <v>0.497</v>
      </c>
      <c r="Q43" s="4">
        <v>67.314999999999998</v>
      </c>
      <c r="R43" s="4">
        <v>9.2176515709999993</v>
      </c>
      <c r="S43" s="4">
        <v>2.4025398130000002</v>
      </c>
      <c r="T43" s="3">
        <v>2795.5069840000001</v>
      </c>
      <c r="U43" t="s">
        <v>222</v>
      </c>
      <c r="V43" s="2">
        <v>-7.4327366600356326E-3</v>
      </c>
      <c r="W43">
        <v>0.26300000000000001</v>
      </c>
      <c r="X43">
        <v>9.8000000000000004E-2</v>
      </c>
      <c r="Y43">
        <v>0.216</v>
      </c>
      <c r="Z43">
        <v>0.41899999999999998</v>
      </c>
      <c r="AA43">
        <v>0.33700000000000002</v>
      </c>
      <c r="AB43">
        <v>0.47199999999999998</v>
      </c>
    </row>
    <row r="44" spans="1:28" x14ac:dyDescent="0.25">
      <c r="A44" t="s">
        <v>69</v>
      </c>
      <c r="B44">
        <v>4</v>
      </c>
      <c r="C44">
        <v>7.7359999999999998</v>
      </c>
      <c r="D44">
        <v>1.63</v>
      </c>
      <c r="E44">
        <v>0.71</v>
      </c>
      <c r="F44">
        <v>1.17</v>
      </c>
      <c r="G44">
        <v>1.74</v>
      </c>
      <c r="H44">
        <v>1.77</v>
      </c>
      <c r="I44">
        <v>1.97</v>
      </c>
      <c r="J44">
        <v>2.2200000000000002</v>
      </c>
      <c r="K44" s="5">
        <v>1.925</v>
      </c>
      <c r="L44">
        <v>40</v>
      </c>
      <c r="M44">
        <v>60</v>
      </c>
      <c r="N44">
        <v>100</v>
      </c>
      <c r="O44">
        <v>0.96</v>
      </c>
      <c r="P44">
        <v>0.94799999999999995</v>
      </c>
      <c r="Q44" s="4">
        <v>81.91</v>
      </c>
      <c r="R44" s="4">
        <v>19.494089129999999</v>
      </c>
      <c r="S44" s="4">
        <v>12.97962547</v>
      </c>
      <c r="T44" s="3">
        <v>57067.636930000001</v>
      </c>
      <c r="U44">
        <v>9.68</v>
      </c>
      <c r="V44" s="2">
        <v>-1.150660295003436E-2</v>
      </c>
      <c r="W44">
        <v>0.84699999999999998</v>
      </c>
      <c r="X44">
        <v>0.80200000000000005</v>
      </c>
      <c r="Y44">
        <v>0.96599999999999997</v>
      </c>
      <c r="Z44">
        <v>0.86499999999999999</v>
      </c>
      <c r="AA44">
        <v>0.64500000000000002</v>
      </c>
      <c r="AB44">
        <v>0.92200000000000004</v>
      </c>
    </row>
    <row r="45" spans="1:28" x14ac:dyDescent="0.25">
      <c r="A45" t="s">
        <v>70</v>
      </c>
      <c r="B45">
        <v>4</v>
      </c>
      <c r="C45">
        <v>6.593</v>
      </c>
      <c r="D45">
        <v>1.1499999999999999</v>
      </c>
      <c r="E45">
        <v>0.34</v>
      </c>
      <c r="F45">
        <v>0.745</v>
      </c>
      <c r="G45">
        <v>1.1399999999999999</v>
      </c>
      <c r="H45">
        <v>1.1499999999999999</v>
      </c>
      <c r="I45">
        <v>1.18</v>
      </c>
      <c r="J45">
        <v>1.18</v>
      </c>
      <c r="K45" s="5">
        <v>1.1625000000000001</v>
      </c>
      <c r="L45">
        <v>38</v>
      </c>
      <c r="M45">
        <v>51</v>
      </c>
      <c r="N45">
        <v>89</v>
      </c>
      <c r="O45">
        <v>0.82</v>
      </c>
      <c r="P45">
        <v>0.92</v>
      </c>
      <c r="Q45" s="4">
        <v>83.325000000000003</v>
      </c>
      <c r="R45" s="4">
        <v>16.095119480000001</v>
      </c>
      <c r="S45" s="4">
        <v>11.7656677</v>
      </c>
      <c r="T45" s="3">
        <v>55060.160380000001</v>
      </c>
      <c r="U45">
        <v>8.48</v>
      </c>
      <c r="V45" s="2">
        <v>6.0811507982208024E-3</v>
      </c>
      <c r="W45">
        <v>0.86599999999999999</v>
      </c>
      <c r="X45">
        <v>0.79900000000000004</v>
      </c>
      <c r="Y45">
        <v>0.93</v>
      </c>
      <c r="Z45">
        <v>0.82399999999999995</v>
      </c>
      <c r="AA45">
        <v>0.63500000000000001</v>
      </c>
      <c r="AB45">
        <v>0.93799999999999994</v>
      </c>
    </row>
    <row r="46" spans="1:28" x14ac:dyDescent="0.25">
      <c r="A46" t="s">
        <v>71</v>
      </c>
      <c r="B46">
        <v>1</v>
      </c>
      <c r="C46">
        <v>5.12</v>
      </c>
      <c r="D46">
        <v>-0.92</v>
      </c>
      <c r="E46">
        <v>-0.34</v>
      </c>
      <c r="F46">
        <v>-0.63</v>
      </c>
      <c r="G46">
        <v>-0.78</v>
      </c>
      <c r="H46">
        <v>-0.7</v>
      </c>
      <c r="I46">
        <v>-0.87</v>
      </c>
      <c r="J46">
        <v>-1.02</v>
      </c>
      <c r="K46" s="5">
        <v>-0.84250000000000003</v>
      </c>
      <c r="L46">
        <v>2</v>
      </c>
      <c r="M46">
        <v>18</v>
      </c>
      <c r="N46">
        <v>20</v>
      </c>
      <c r="O46">
        <v>0.64</v>
      </c>
      <c r="P46">
        <v>0.73299999999999998</v>
      </c>
      <c r="Q46" s="4">
        <v>68.337000000000003</v>
      </c>
      <c r="R46" s="4">
        <v>12.482758889999999</v>
      </c>
      <c r="S46" s="4">
        <v>9.6859999999999999</v>
      </c>
      <c r="T46" s="3">
        <v>18854.06151</v>
      </c>
      <c r="U46">
        <v>18.61</v>
      </c>
      <c r="V46" s="2">
        <v>-3.3634183283440811E-3</v>
      </c>
      <c r="W46">
        <v>0.22900000000000001</v>
      </c>
      <c r="X46">
        <v>0.155</v>
      </c>
      <c r="Y46">
        <v>0.438</v>
      </c>
      <c r="Z46">
        <v>0.64600000000000002</v>
      </c>
      <c r="AA46">
        <v>0.62</v>
      </c>
      <c r="AB46">
        <v>0.57999999999999996</v>
      </c>
    </row>
    <row r="47" spans="1:28" x14ac:dyDescent="0.25">
      <c r="A47" t="s">
        <v>72</v>
      </c>
      <c r="B47">
        <v>3</v>
      </c>
      <c r="C47">
        <v>5.12</v>
      </c>
      <c r="D47">
        <v>-0.04</v>
      </c>
      <c r="E47">
        <v>-0.01</v>
      </c>
      <c r="F47">
        <v>-2.5000000000000001E-2</v>
      </c>
      <c r="G47">
        <v>-0.59</v>
      </c>
      <c r="H47">
        <v>-0.64</v>
      </c>
      <c r="I47">
        <v>-0.37</v>
      </c>
      <c r="J47">
        <v>-0.28000000000000003</v>
      </c>
      <c r="K47" s="5">
        <v>-0.47</v>
      </c>
      <c r="L47">
        <v>22</v>
      </c>
      <c r="M47">
        <v>28</v>
      </c>
      <c r="N47">
        <v>50</v>
      </c>
      <c r="O47">
        <v>0.6</v>
      </c>
      <c r="P47">
        <v>0.52400000000000002</v>
      </c>
      <c r="Q47" s="4">
        <v>65.86</v>
      </c>
      <c r="R47" s="4">
        <v>8.9778996860000007</v>
      </c>
      <c r="S47" s="4">
        <v>4.6747271540000002</v>
      </c>
      <c r="T47" s="3">
        <v>2812.0176019999999</v>
      </c>
      <c r="U47">
        <v>7.32</v>
      </c>
      <c r="V47" s="2">
        <v>2.1399873693095369E-2</v>
      </c>
      <c r="W47">
        <v>0.63400000000000001</v>
      </c>
      <c r="X47">
        <v>0.50700000000000001</v>
      </c>
      <c r="Y47">
        <v>0.78400000000000003</v>
      </c>
      <c r="Z47">
        <v>0.66600000000000004</v>
      </c>
      <c r="AA47">
        <v>0.58799999999999997</v>
      </c>
      <c r="AB47">
        <v>0.751</v>
      </c>
    </row>
    <row r="48" spans="1:28" x14ac:dyDescent="0.25">
      <c r="A48" t="s">
        <v>73</v>
      </c>
      <c r="B48">
        <v>2</v>
      </c>
      <c r="C48">
        <v>5.4</v>
      </c>
      <c r="D48">
        <v>0.03</v>
      </c>
      <c r="E48">
        <v>-0.34</v>
      </c>
      <c r="F48">
        <v>-0.155</v>
      </c>
      <c r="G48">
        <v>0.79</v>
      </c>
      <c r="H48">
        <v>0.95</v>
      </c>
      <c r="I48">
        <v>0.18</v>
      </c>
      <c r="J48">
        <v>0.62</v>
      </c>
      <c r="K48" s="5">
        <v>0.63500000000000001</v>
      </c>
      <c r="L48">
        <v>22</v>
      </c>
      <c r="M48">
        <v>36</v>
      </c>
      <c r="N48">
        <v>58</v>
      </c>
      <c r="O48">
        <v>0.79</v>
      </c>
      <c r="P48">
        <v>0.84399999999999997</v>
      </c>
      <c r="Q48" s="4">
        <v>74.495999999999995</v>
      </c>
      <c r="R48" s="4">
        <v>16.75470924</v>
      </c>
      <c r="S48" s="4">
        <v>12.69999981</v>
      </c>
      <c r="T48" s="3">
        <v>20752.570090000001</v>
      </c>
      <c r="U48">
        <v>8.89</v>
      </c>
      <c r="V48" s="2">
        <v>1.130783462954899E-2</v>
      </c>
      <c r="W48">
        <v>0.48</v>
      </c>
      <c r="X48">
        <v>0.32800000000000001</v>
      </c>
      <c r="Y48">
        <v>0.61499999999999999</v>
      </c>
      <c r="Z48">
        <v>0.72599999999999998</v>
      </c>
      <c r="AA48">
        <v>0.50700000000000001</v>
      </c>
      <c r="AB48">
        <v>0.751</v>
      </c>
    </row>
    <row r="49" spans="1:28" x14ac:dyDescent="0.25">
      <c r="A49" t="s">
        <v>74</v>
      </c>
      <c r="B49">
        <v>4</v>
      </c>
      <c r="C49">
        <v>6.7530000000000001</v>
      </c>
      <c r="D49">
        <v>1.46</v>
      </c>
      <c r="E49">
        <v>0.59</v>
      </c>
      <c r="F49">
        <v>1.0249999999999999</v>
      </c>
      <c r="G49">
        <v>1.19</v>
      </c>
      <c r="H49">
        <v>1.46</v>
      </c>
      <c r="I49">
        <v>1.55</v>
      </c>
      <c r="J49">
        <v>1.66</v>
      </c>
      <c r="K49" s="5">
        <v>1.4650000000000001</v>
      </c>
      <c r="L49">
        <v>39</v>
      </c>
      <c r="M49">
        <v>54</v>
      </c>
      <c r="N49">
        <v>93</v>
      </c>
      <c r="O49">
        <v>0.85</v>
      </c>
      <c r="P49">
        <v>0.95899999999999996</v>
      </c>
      <c r="Q49" s="4">
        <v>81.378</v>
      </c>
      <c r="R49" s="4">
        <v>17.30921936</v>
      </c>
      <c r="S49" s="4">
        <v>14.296371629999999</v>
      </c>
      <c r="T49" s="3">
        <v>64053.221239999999</v>
      </c>
      <c r="U49">
        <v>6.43</v>
      </c>
      <c r="V49" s="2">
        <v>-1.901324232781965E-2</v>
      </c>
      <c r="W49">
        <v>0.83899999999999997</v>
      </c>
      <c r="X49">
        <v>0.79200000000000004</v>
      </c>
      <c r="Y49">
        <v>0.96299999999999997</v>
      </c>
      <c r="Z49">
        <v>0.93100000000000005</v>
      </c>
      <c r="AA49">
        <v>0.65300000000000002</v>
      </c>
      <c r="AB49">
        <v>0.98</v>
      </c>
    </row>
    <row r="50" spans="1:28" x14ac:dyDescent="0.25">
      <c r="A50" t="s">
        <v>75</v>
      </c>
      <c r="B50">
        <v>3</v>
      </c>
      <c r="C50">
        <v>4.34</v>
      </c>
      <c r="D50">
        <v>0.41</v>
      </c>
      <c r="E50">
        <v>-0.02</v>
      </c>
      <c r="F50">
        <v>0.19500000000000001</v>
      </c>
      <c r="G50">
        <v>-0.09</v>
      </c>
      <c r="H50">
        <v>-0.18</v>
      </c>
      <c r="I50">
        <v>-0.1</v>
      </c>
      <c r="J50">
        <v>-0.1</v>
      </c>
      <c r="K50" s="5">
        <v>-0.11749999999999999</v>
      </c>
      <c r="L50">
        <v>35</v>
      </c>
      <c r="M50">
        <v>45</v>
      </c>
      <c r="N50">
        <v>80</v>
      </c>
      <c r="O50">
        <v>0.78</v>
      </c>
      <c r="P50">
        <v>0.628</v>
      </c>
      <c r="Q50" s="4">
        <v>65.498000000000005</v>
      </c>
      <c r="R50" s="4">
        <v>11.418459889999999</v>
      </c>
      <c r="S50" s="4">
        <v>7.1072101590000001</v>
      </c>
      <c r="T50" s="3">
        <v>6846.3522039999998</v>
      </c>
      <c r="U50">
        <v>18.29</v>
      </c>
      <c r="V50" s="2">
        <v>-6.9863070487617973E-3</v>
      </c>
      <c r="W50">
        <v>0.66900000000000004</v>
      </c>
      <c r="X50">
        <v>0.56699999999999995</v>
      </c>
      <c r="Y50">
        <v>0.84799999999999998</v>
      </c>
      <c r="Z50">
        <v>0.63500000000000001</v>
      </c>
      <c r="AA50">
        <v>0.36899999999999999</v>
      </c>
      <c r="AB50">
        <v>0.81299999999999994</v>
      </c>
    </row>
    <row r="51" spans="1:28" x14ac:dyDescent="0.25">
      <c r="A51" t="s">
        <v>76</v>
      </c>
      <c r="B51">
        <v>3</v>
      </c>
      <c r="C51">
        <v>5.7759999999999998</v>
      </c>
      <c r="D51">
        <v>1.01</v>
      </c>
      <c r="E51">
        <v>0.24</v>
      </c>
      <c r="F51">
        <v>0.625</v>
      </c>
      <c r="G51">
        <v>0.15</v>
      </c>
      <c r="H51">
        <v>0.57999999999999996</v>
      </c>
      <c r="I51">
        <v>0.21</v>
      </c>
      <c r="J51">
        <v>0.1</v>
      </c>
      <c r="K51" s="5">
        <v>0.26</v>
      </c>
      <c r="L51">
        <v>35</v>
      </c>
      <c r="M51">
        <v>50</v>
      </c>
      <c r="N51">
        <v>85</v>
      </c>
      <c r="O51">
        <v>0.56999999999999995</v>
      </c>
      <c r="P51">
        <v>0.90800000000000003</v>
      </c>
      <c r="Q51" s="4">
        <v>81.856999999999999</v>
      </c>
      <c r="R51" s="4">
        <v>20.845500950000002</v>
      </c>
      <c r="S51" s="4">
        <v>11.553856420000001</v>
      </c>
      <c r="T51" s="3">
        <v>35760.749150000003</v>
      </c>
      <c r="U51">
        <v>13.68</v>
      </c>
      <c r="V51" s="2">
        <v>-1.2334508343316401E-2</v>
      </c>
      <c r="W51">
        <v>0.75</v>
      </c>
      <c r="X51">
        <v>0.57599999999999996</v>
      </c>
      <c r="Y51">
        <v>0.74099999999999999</v>
      </c>
      <c r="Z51">
        <v>0.875</v>
      </c>
      <c r="AA51">
        <v>0.63800000000000001</v>
      </c>
      <c r="AB51">
        <v>0.83</v>
      </c>
    </row>
    <row r="52" spans="1:28" x14ac:dyDescent="0.25">
      <c r="A52" t="s">
        <v>77</v>
      </c>
      <c r="B52">
        <v>3</v>
      </c>
      <c r="C52">
        <v>6.3620000000000001</v>
      </c>
      <c r="D52">
        <v>-0.53</v>
      </c>
      <c r="E52">
        <v>-0.24</v>
      </c>
      <c r="F52">
        <v>-0.38500000000000001</v>
      </c>
      <c r="G52">
        <v>-0.9</v>
      </c>
      <c r="H52">
        <v>-0.28999999999999998</v>
      </c>
      <c r="I52">
        <v>-1.08</v>
      </c>
      <c r="J52">
        <v>-1.1200000000000001</v>
      </c>
      <c r="K52" s="5">
        <v>-0.84750000000000003</v>
      </c>
      <c r="L52">
        <v>17</v>
      </c>
      <c r="M52">
        <v>29</v>
      </c>
      <c r="N52">
        <v>46</v>
      </c>
      <c r="O52">
        <v>0.86</v>
      </c>
      <c r="P52">
        <v>0.66200000000000003</v>
      </c>
      <c r="Q52" s="4">
        <v>72.602000000000004</v>
      </c>
      <c r="R52" s="4">
        <v>10.67763042</v>
      </c>
      <c r="S52" s="4">
        <v>5.8473000529999997</v>
      </c>
      <c r="T52" s="3">
        <v>12458.603999999999</v>
      </c>
      <c r="U52">
        <v>8.3800000000000008</v>
      </c>
      <c r="V52" s="2">
        <v>3.7677128924543557E-2</v>
      </c>
      <c r="W52">
        <v>0.59699999999999998</v>
      </c>
      <c r="X52">
        <v>0.46899999999999997</v>
      </c>
      <c r="Y52">
        <v>0.76800000000000002</v>
      </c>
      <c r="Z52">
        <v>0.32700000000000001</v>
      </c>
      <c r="AA52">
        <v>0.59399999999999997</v>
      </c>
      <c r="AB52">
        <v>0.59399999999999997</v>
      </c>
    </row>
    <row r="53" spans="1:28" x14ac:dyDescent="0.25">
      <c r="A53" t="s">
        <v>78</v>
      </c>
      <c r="B53">
        <v>1</v>
      </c>
      <c r="C53">
        <v>4.9290000000000003</v>
      </c>
      <c r="D53">
        <v>-1.1499999999999999</v>
      </c>
      <c r="E53">
        <v>-0.88</v>
      </c>
      <c r="F53">
        <v>-1.0149999999999999</v>
      </c>
      <c r="G53">
        <v>-0.91</v>
      </c>
      <c r="H53">
        <v>-1.08</v>
      </c>
      <c r="I53">
        <v>-1.1100000000000001</v>
      </c>
      <c r="J53">
        <v>-0.9</v>
      </c>
      <c r="K53" s="5">
        <v>-1</v>
      </c>
      <c r="L53">
        <v>7</v>
      </c>
      <c r="M53">
        <v>23</v>
      </c>
      <c r="N53">
        <v>30</v>
      </c>
      <c r="O53">
        <v>0.66</v>
      </c>
      <c r="P53">
        <v>0.5</v>
      </c>
      <c r="Q53" s="4">
        <v>60.74</v>
      </c>
      <c r="R53" s="4">
        <v>10.393306259999999</v>
      </c>
      <c r="S53" s="4">
        <v>2.4863390249999999</v>
      </c>
      <c r="T53" s="3">
        <v>3494.3477229999999</v>
      </c>
      <c r="U53">
        <v>23.55</v>
      </c>
      <c r="V53" s="2">
        <v>-4.7149421673035041E-3</v>
      </c>
      <c r="W53">
        <v>0.161</v>
      </c>
      <c r="X53">
        <v>7.4999999999999997E-2</v>
      </c>
      <c r="Y53">
        <v>0.219</v>
      </c>
      <c r="Z53">
        <v>0.436</v>
      </c>
      <c r="AA53">
        <v>0.39500000000000002</v>
      </c>
      <c r="AB53">
        <v>0.22</v>
      </c>
    </row>
    <row r="54" spans="1:28" x14ac:dyDescent="0.25">
      <c r="A54" t="s">
        <v>79</v>
      </c>
      <c r="B54">
        <v>2</v>
      </c>
      <c r="C54">
        <v>5.5350000000000001</v>
      </c>
      <c r="D54">
        <v>0.15</v>
      </c>
      <c r="E54">
        <v>-0.06</v>
      </c>
      <c r="F54">
        <v>4.4999999999999998E-2</v>
      </c>
      <c r="G54">
        <v>-0.28999999999999998</v>
      </c>
      <c r="H54">
        <v>-0.56000000000000005</v>
      </c>
      <c r="I54">
        <v>-0.34</v>
      </c>
      <c r="J54">
        <v>-0.38</v>
      </c>
      <c r="K54" s="5">
        <v>-0.39250000000000013</v>
      </c>
      <c r="L54">
        <v>30</v>
      </c>
      <c r="M54">
        <v>43</v>
      </c>
      <c r="N54">
        <v>73</v>
      </c>
      <c r="O54">
        <v>0.78</v>
      </c>
      <c r="P54">
        <v>0.77600000000000002</v>
      </c>
      <c r="Q54" s="4">
        <v>70.180000000000007</v>
      </c>
      <c r="R54" s="4">
        <v>13.022057650000001</v>
      </c>
      <c r="S54" s="4">
        <v>8.7024296719999992</v>
      </c>
      <c r="T54" s="3">
        <v>46959.251730000004</v>
      </c>
      <c r="U54" t="s">
        <v>222</v>
      </c>
      <c r="V54" s="2">
        <v>3.07248361978637E-2</v>
      </c>
      <c r="W54">
        <v>0.49099999999999999</v>
      </c>
      <c r="X54">
        <v>0.315</v>
      </c>
      <c r="Y54">
        <v>0.56799999999999995</v>
      </c>
      <c r="Z54">
        <v>0.67500000000000004</v>
      </c>
      <c r="AA54">
        <v>0.51600000000000001</v>
      </c>
      <c r="AB54">
        <v>0.378</v>
      </c>
    </row>
    <row r="55" spans="1:28" x14ac:dyDescent="0.25">
      <c r="A55" t="s">
        <v>80</v>
      </c>
      <c r="B55">
        <v>3</v>
      </c>
      <c r="C55">
        <v>5.9640000000000004</v>
      </c>
      <c r="D55">
        <v>-0.45</v>
      </c>
      <c r="E55">
        <v>-0.46</v>
      </c>
      <c r="F55">
        <v>-0.45500000000000002</v>
      </c>
      <c r="G55">
        <v>-0.8</v>
      </c>
      <c r="H55">
        <v>-0.55000000000000004</v>
      </c>
      <c r="I55">
        <v>-1.1000000000000001</v>
      </c>
      <c r="J55">
        <v>-1.1100000000000001</v>
      </c>
      <c r="K55" s="5">
        <v>-0.89000000000000012</v>
      </c>
      <c r="L55">
        <v>22</v>
      </c>
      <c r="M55">
        <v>26</v>
      </c>
      <c r="N55">
        <v>48</v>
      </c>
      <c r="O55">
        <v>0.84</v>
      </c>
      <c r="P55">
        <v>0.64500000000000002</v>
      </c>
      <c r="Q55" s="4">
        <v>72.884</v>
      </c>
      <c r="R55" s="4">
        <v>10.162206469999999</v>
      </c>
      <c r="S55" s="4">
        <v>7.5102290739999997</v>
      </c>
      <c r="T55" s="3">
        <v>6064.7857830000003</v>
      </c>
      <c r="U55">
        <v>14.3</v>
      </c>
      <c r="V55" s="2">
        <v>2.3341318086001931E-2</v>
      </c>
      <c r="W55">
        <v>0.54100000000000004</v>
      </c>
      <c r="X55">
        <v>0.38200000000000001</v>
      </c>
      <c r="Y55">
        <v>0.65800000000000003</v>
      </c>
      <c r="Z55">
        <v>0.40799999999999997</v>
      </c>
      <c r="AA55">
        <v>0.53700000000000003</v>
      </c>
      <c r="AB55">
        <v>0.68700000000000006</v>
      </c>
    </row>
    <row r="56" spans="1:28" x14ac:dyDescent="0.25">
      <c r="A56" t="s">
        <v>81</v>
      </c>
      <c r="B56">
        <v>2</v>
      </c>
      <c r="C56">
        <v>5.915</v>
      </c>
      <c r="D56">
        <v>0.36</v>
      </c>
      <c r="E56">
        <v>0.73</v>
      </c>
      <c r="F56">
        <v>0.54499999999999993</v>
      </c>
      <c r="G56">
        <v>0.37</v>
      </c>
      <c r="H56">
        <v>0.32</v>
      </c>
      <c r="I56">
        <v>0.43</v>
      </c>
      <c r="J56">
        <v>0</v>
      </c>
      <c r="K56" s="5">
        <v>0.28000000000000003</v>
      </c>
      <c r="L56">
        <v>24</v>
      </c>
      <c r="M56">
        <v>41</v>
      </c>
      <c r="N56">
        <v>65</v>
      </c>
      <c r="O56">
        <v>0.76</v>
      </c>
      <c r="P56">
        <v>0.87</v>
      </c>
      <c r="Q56" s="4">
        <v>77.024000000000001</v>
      </c>
      <c r="R56" s="4">
        <v>15.46940041</v>
      </c>
      <c r="S56" s="4">
        <v>12.33162229</v>
      </c>
      <c r="T56" s="3">
        <v>37236.074619999999</v>
      </c>
      <c r="U56" t="s">
        <v>222</v>
      </c>
      <c r="V56" s="2">
        <v>0.1038172988948385</v>
      </c>
      <c r="W56">
        <v>0.436</v>
      </c>
      <c r="X56">
        <v>0.318</v>
      </c>
      <c r="Y56">
        <v>0.65400000000000003</v>
      </c>
      <c r="Z56">
        <v>0.63500000000000001</v>
      </c>
      <c r="AA56">
        <v>0.53400000000000003</v>
      </c>
      <c r="AB56">
        <v>0.309</v>
      </c>
    </row>
    <row r="57" spans="1:28" x14ac:dyDescent="0.25">
      <c r="A57" t="s">
        <v>82</v>
      </c>
      <c r="B57">
        <v>4</v>
      </c>
      <c r="C57">
        <v>7.5149999999999997</v>
      </c>
      <c r="D57">
        <v>1.45</v>
      </c>
      <c r="E57">
        <v>1.21</v>
      </c>
      <c r="F57">
        <v>1.33</v>
      </c>
      <c r="G57">
        <v>1.56</v>
      </c>
      <c r="H57">
        <v>1.28</v>
      </c>
      <c r="I57">
        <v>1.72</v>
      </c>
      <c r="J57">
        <v>1.55</v>
      </c>
      <c r="K57" s="5">
        <v>1.5275000000000001</v>
      </c>
      <c r="L57">
        <v>37</v>
      </c>
      <c r="M57">
        <v>57</v>
      </c>
      <c r="N57">
        <v>94</v>
      </c>
      <c r="O57">
        <v>0.94</v>
      </c>
      <c r="P57">
        <v>0.97199999999999998</v>
      </c>
      <c r="Q57" s="4">
        <v>82.691000000000003</v>
      </c>
      <c r="R57" s="4">
        <v>18.850589750000001</v>
      </c>
      <c r="S57" s="4">
        <v>13.908926279999999</v>
      </c>
      <c r="T57" s="3">
        <v>69116.937359999996</v>
      </c>
      <c r="U57">
        <v>15.16</v>
      </c>
      <c r="V57" s="2"/>
      <c r="W57">
        <v>0.84399999999999997</v>
      </c>
      <c r="X57">
        <v>0.75900000000000001</v>
      </c>
      <c r="Y57">
        <v>0.90700000000000003</v>
      </c>
      <c r="Z57">
        <v>0.90800000000000003</v>
      </c>
      <c r="AA57">
        <v>0.66200000000000003</v>
      </c>
      <c r="AB57">
        <v>0.90200000000000002</v>
      </c>
    </row>
    <row r="58" spans="1:28" x14ac:dyDescent="0.25">
      <c r="A58" t="s">
        <v>83</v>
      </c>
      <c r="B58">
        <v>2</v>
      </c>
      <c r="C58">
        <v>4.3890000000000002</v>
      </c>
      <c r="D58">
        <v>0.09</v>
      </c>
      <c r="E58">
        <v>-0.64</v>
      </c>
      <c r="F58">
        <v>-0.27500000000000002</v>
      </c>
      <c r="G58">
        <v>0.48</v>
      </c>
      <c r="H58">
        <v>-0.14000000000000001</v>
      </c>
      <c r="I58">
        <v>0.19</v>
      </c>
      <c r="J58">
        <v>-0.37</v>
      </c>
      <c r="K58" s="5">
        <v>4.0000000000000008E-2</v>
      </c>
      <c r="L58">
        <v>33</v>
      </c>
      <c r="M58">
        <v>33</v>
      </c>
      <c r="N58">
        <v>66</v>
      </c>
      <c r="O58">
        <v>0.9</v>
      </c>
      <c r="P58">
        <v>0.68500000000000005</v>
      </c>
      <c r="Q58" s="4">
        <v>72.003</v>
      </c>
      <c r="R58" s="4">
        <v>12.954540250000001</v>
      </c>
      <c r="S58" s="4">
        <v>6.8800001139999996</v>
      </c>
      <c r="T58" s="3">
        <v>9046.7563360000004</v>
      </c>
      <c r="U58">
        <v>15.93</v>
      </c>
      <c r="V58" s="2">
        <v>-6.6106439290352093E-3</v>
      </c>
      <c r="W58">
        <v>0.39800000000000002</v>
      </c>
      <c r="X58">
        <v>0.29099999999999998</v>
      </c>
      <c r="Y58">
        <v>0.63500000000000001</v>
      </c>
      <c r="Z58">
        <v>0.42499999999999999</v>
      </c>
      <c r="AA58">
        <v>0.52100000000000002</v>
      </c>
      <c r="AB58">
        <v>0.629</v>
      </c>
    </row>
    <row r="59" spans="1:28" x14ac:dyDescent="0.25">
      <c r="A59" t="s">
        <v>84</v>
      </c>
      <c r="B59">
        <v>2</v>
      </c>
      <c r="C59">
        <v>5.617</v>
      </c>
      <c r="D59">
        <v>0.14000000000000001</v>
      </c>
      <c r="E59">
        <v>-0.4</v>
      </c>
      <c r="F59">
        <v>-0.13</v>
      </c>
      <c r="G59">
        <v>0.57999999999999996</v>
      </c>
      <c r="H59">
        <v>0.3</v>
      </c>
      <c r="I59">
        <v>-0.15</v>
      </c>
      <c r="J59">
        <v>-0.49</v>
      </c>
      <c r="K59" s="5">
        <v>5.999999999999997E-2</v>
      </c>
      <c r="L59">
        <v>29</v>
      </c>
      <c r="M59">
        <v>28</v>
      </c>
      <c r="N59">
        <v>57</v>
      </c>
      <c r="O59">
        <v>0.88</v>
      </c>
      <c r="P59">
        <v>0.72799999999999998</v>
      </c>
      <c r="Q59" s="4">
        <v>71.146000000000001</v>
      </c>
      <c r="R59" s="4">
        <v>13.33577728</v>
      </c>
      <c r="S59" s="4">
        <v>8.6972231999999998</v>
      </c>
      <c r="T59" s="3">
        <v>13700.12989</v>
      </c>
      <c r="U59">
        <v>20.28</v>
      </c>
      <c r="V59" s="2">
        <v>1.92871694963197E-2</v>
      </c>
      <c r="W59">
        <v>0.48299999999999998</v>
      </c>
      <c r="X59">
        <v>0.32600000000000001</v>
      </c>
      <c r="Y59">
        <v>0.60599999999999998</v>
      </c>
      <c r="Z59">
        <v>0.53800000000000003</v>
      </c>
      <c r="AA59">
        <v>0.59199999999999997</v>
      </c>
      <c r="AB59">
        <v>0.81100000000000005</v>
      </c>
    </row>
    <row r="60" spans="1:28" x14ac:dyDescent="0.25">
      <c r="A60" t="s">
        <v>85</v>
      </c>
      <c r="B60">
        <v>2</v>
      </c>
      <c r="C60">
        <v>5.4729999999999999</v>
      </c>
      <c r="D60">
        <v>-1.45</v>
      </c>
      <c r="E60">
        <v>-1.69</v>
      </c>
      <c r="F60">
        <v>-1.57</v>
      </c>
      <c r="G60">
        <v>-1.02</v>
      </c>
      <c r="H60">
        <v>-1.69</v>
      </c>
      <c r="I60">
        <v>-1.06</v>
      </c>
      <c r="J60">
        <v>-1.23</v>
      </c>
      <c r="K60" s="5">
        <v>-1.25</v>
      </c>
      <c r="L60">
        <v>4</v>
      </c>
      <c r="M60">
        <v>7</v>
      </c>
      <c r="N60">
        <v>11</v>
      </c>
      <c r="O60">
        <v>0.59299999999999997</v>
      </c>
      <c r="Q60" s="4"/>
      <c r="R60" s="4"/>
      <c r="S60" s="4"/>
      <c r="T60" s="3"/>
      <c r="U60" t="s">
        <v>222</v>
      </c>
      <c r="V60" s="2">
        <v>3.3312538204882343E-2</v>
      </c>
      <c r="W60">
        <v>0.16700000000000001</v>
      </c>
      <c r="X60">
        <v>9.1999999999999998E-2</v>
      </c>
      <c r="Y60">
        <v>0.27500000000000002</v>
      </c>
      <c r="Z60">
        <v>0.47299999999999998</v>
      </c>
      <c r="AA60">
        <v>9.1999999999999998E-2</v>
      </c>
      <c r="AB60">
        <v>0.32400000000000001</v>
      </c>
    </row>
    <row r="61" spans="1:28" x14ac:dyDescent="0.25">
      <c r="A61" t="s">
        <v>86</v>
      </c>
      <c r="B61">
        <v>2</v>
      </c>
      <c r="C61">
        <v>4.976</v>
      </c>
      <c r="D61">
        <v>-0.96</v>
      </c>
      <c r="E61">
        <v>-2.41</v>
      </c>
      <c r="F61">
        <v>-1.6850000000000001</v>
      </c>
      <c r="G61">
        <v>-1.39</v>
      </c>
      <c r="H61">
        <v>-1.44</v>
      </c>
      <c r="I61">
        <v>-1.69</v>
      </c>
      <c r="J61">
        <v>-1.32</v>
      </c>
      <c r="K61" s="5">
        <v>-1.46</v>
      </c>
      <c r="L61">
        <v>16</v>
      </c>
      <c r="M61">
        <v>14</v>
      </c>
      <c r="N61">
        <v>30</v>
      </c>
      <c r="O61">
        <v>0.65</v>
      </c>
      <c r="P61">
        <v>0.69499999999999995</v>
      </c>
      <c r="Q61" s="4">
        <v>72.323999999999998</v>
      </c>
      <c r="R61" s="4">
        <v>12.359401350000001</v>
      </c>
      <c r="S61" s="4">
        <v>6.7800462870000002</v>
      </c>
      <c r="T61" s="3">
        <v>12653.52469</v>
      </c>
      <c r="U61">
        <v>6.84</v>
      </c>
      <c r="V61" s="2">
        <v>1.2567302877628859E-2</v>
      </c>
      <c r="W61">
        <v>0.35099999999999998</v>
      </c>
      <c r="X61">
        <v>0.22800000000000001</v>
      </c>
      <c r="Y61">
        <v>0.52400000000000002</v>
      </c>
      <c r="Z61">
        <v>0.45900000000000002</v>
      </c>
      <c r="AA61">
        <v>0.438</v>
      </c>
      <c r="AB61">
        <v>0.59399999999999997</v>
      </c>
    </row>
    <row r="62" spans="1:28" x14ac:dyDescent="0.25">
      <c r="A62" t="s">
        <v>87</v>
      </c>
      <c r="B62">
        <v>4</v>
      </c>
      <c r="C62">
        <v>6.8890000000000002</v>
      </c>
      <c r="D62">
        <v>1.48</v>
      </c>
      <c r="E62">
        <v>0.9</v>
      </c>
      <c r="F62">
        <v>1.19</v>
      </c>
      <c r="G62">
        <v>1.59</v>
      </c>
      <c r="H62">
        <v>1.75</v>
      </c>
      <c r="I62">
        <v>1.63</v>
      </c>
      <c r="J62">
        <v>1.58</v>
      </c>
      <c r="K62" s="5">
        <v>1.6375</v>
      </c>
      <c r="L62">
        <v>39</v>
      </c>
      <c r="M62">
        <v>58</v>
      </c>
      <c r="N62">
        <v>97</v>
      </c>
      <c r="O62">
        <v>0.87</v>
      </c>
      <c r="P62">
        <v>0.94899999999999995</v>
      </c>
      <c r="Q62" s="4">
        <v>82.412000000000006</v>
      </c>
      <c r="R62" s="4">
        <v>19.184879299999999</v>
      </c>
      <c r="S62" s="4">
        <v>11.724999560000001</v>
      </c>
      <c r="T62" s="3">
        <v>90884.634590000001</v>
      </c>
      <c r="U62">
        <v>18.12</v>
      </c>
      <c r="V62" s="2">
        <v>1.3646828226615559E-2</v>
      </c>
      <c r="W62">
        <v>0.89500000000000002</v>
      </c>
      <c r="X62">
        <v>0.83</v>
      </c>
      <c r="Y62">
        <v>0.93200000000000005</v>
      </c>
      <c r="Z62">
        <v>0.87</v>
      </c>
      <c r="AA62">
        <v>0.63300000000000001</v>
      </c>
      <c r="AB62">
        <v>0.90500000000000003</v>
      </c>
    </row>
    <row r="63" spans="1:28" x14ac:dyDescent="0.25">
      <c r="A63" t="s">
        <v>88</v>
      </c>
      <c r="B63">
        <v>3</v>
      </c>
      <c r="C63">
        <v>7.234</v>
      </c>
      <c r="D63">
        <v>0.64</v>
      </c>
      <c r="E63">
        <v>-1.46</v>
      </c>
      <c r="F63">
        <v>-0.41</v>
      </c>
      <c r="G63">
        <v>1.1499999999999999</v>
      </c>
      <c r="H63">
        <v>1.1200000000000001</v>
      </c>
      <c r="I63">
        <v>0.78</v>
      </c>
      <c r="J63">
        <v>0.83</v>
      </c>
      <c r="K63" s="5">
        <v>0.97</v>
      </c>
      <c r="L63">
        <v>34</v>
      </c>
      <c r="M63">
        <v>40</v>
      </c>
      <c r="N63">
        <v>74</v>
      </c>
      <c r="O63">
        <v>0.81</v>
      </c>
      <c r="P63">
        <v>0.91900000000000004</v>
      </c>
      <c r="Q63" s="4">
        <v>82.408000000000001</v>
      </c>
      <c r="R63" s="4">
        <v>14.93416023</v>
      </c>
      <c r="S63" s="4">
        <v>13.534594739999999</v>
      </c>
      <c r="T63" s="3">
        <v>48050.11176</v>
      </c>
      <c r="U63">
        <v>24.75</v>
      </c>
      <c r="V63" s="2">
        <v>1.915569248876503E-2</v>
      </c>
      <c r="W63">
        <v>0.71499999999999997</v>
      </c>
      <c r="X63">
        <v>0.61699999999999999</v>
      </c>
      <c r="Y63">
        <v>0.86899999999999999</v>
      </c>
      <c r="Z63">
        <v>0.80800000000000005</v>
      </c>
      <c r="AA63">
        <v>0.60099999999999998</v>
      </c>
      <c r="AB63">
        <v>0.77300000000000002</v>
      </c>
    </row>
    <row r="64" spans="1:28" x14ac:dyDescent="0.25">
      <c r="A64" t="s">
        <v>89</v>
      </c>
      <c r="B64">
        <v>4</v>
      </c>
      <c r="C64">
        <v>6.415</v>
      </c>
      <c r="D64">
        <v>1.1200000000000001</v>
      </c>
      <c r="E64">
        <v>0.57999999999999996</v>
      </c>
      <c r="F64">
        <v>0.85000000000000009</v>
      </c>
      <c r="G64">
        <v>0.61</v>
      </c>
      <c r="H64">
        <v>0.64</v>
      </c>
      <c r="I64">
        <v>0.39</v>
      </c>
      <c r="J64">
        <v>0.55000000000000004</v>
      </c>
      <c r="K64" s="5">
        <v>0.5475000000000001</v>
      </c>
      <c r="L64">
        <v>36</v>
      </c>
      <c r="M64">
        <v>54</v>
      </c>
      <c r="N64">
        <v>90</v>
      </c>
      <c r="O64">
        <v>0.71</v>
      </c>
      <c r="P64">
        <v>0.91500000000000004</v>
      </c>
      <c r="Q64" s="4">
        <v>83.715999999999994</v>
      </c>
      <c r="R64" s="4">
        <v>16.714199069999999</v>
      </c>
      <c r="S64" s="4">
        <v>10.828128270000001</v>
      </c>
      <c r="T64" s="3">
        <v>52388.88306</v>
      </c>
      <c r="U64">
        <v>24.43</v>
      </c>
      <c r="V64" s="2">
        <v>6.2977731545605931E-3</v>
      </c>
      <c r="W64">
        <v>0.80300000000000005</v>
      </c>
      <c r="X64">
        <v>0.70499999999999996</v>
      </c>
      <c r="Y64">
        <v>0.88200000000000001</v>
      </c>
      <c r="Z64">
        <v>0.90200000000000002</v>
      </c>
      <c r="AA64">
        <v>0.748</v>
      </c>
      <c r="AB64">
        <v>0.86499999999999999</v>
      </c>
    </row>
    <row r="65" spans="1:28" x14ac:dyDescent="0.25">
      <c r="A65" t="s">
        <v>90</v>
      </c>
      <c r="B65">
        <v>4</v>
      </c>
      <c r="C65">
        <v>5.87</v>
      </c>
      <c r="D65">
        <v>0.56000000000000005</v>
      </c>
      <c r="E65">
        <v>0.38</v>
      </c>
      <c r="F65">
        <v>0.47</v>
      </c>
      <c r="G65">
        <v>0.41</v>
      </c>
      <c r="H65">
        <v>0.1</v>
      </c>
      <c r="I65">
        <v>-0.17</v>
      </c>
      <c r="J65">
        <v>-0.11</v>
      </c>
      <c r="K65" s="5">
        <v>5.7500000000000002E-2</v>
      </c>
      <c r="L65">
        <v>33</v>
      </c>
      <c r="M65">
        <v>47</v>
      </c>
      <c r="N65">
        <v>80</v>
      </c>
      <c r="O65">
        <v>0.82</v>
      </c>
      <c r="P65">
        <v>0.72</v>
      </c>
      <c r="Q65" s="4">
        <v>71.478999999999999</v>
      </c>
      <c r="R65" s="4">
        <v>12.383395500000001</v>
      </c>
      <c r="S65" s="4">
        <v>9.9599103929999995</v>
      </c>
      <c r="T65" s="3">
        <v>10056.98531</v>
      </c>
      <c r="U65">
        <v>21.63</v>
      </c>
      <c r="V65" s="2">
        <v>-1.2373055881568229E-3</v>
      </c>
      <c r="W65">
        <v>0.80300000000000005</v>
      </c>
      <c r="X65">
        <v>0.68400000000000005</v>
      </c>
      <c r="Y65">
        <v>0.84799999999999998</v>
      </c>
      <c r="Z65">
        <v>0.78700000000000003</v>
      </c>
      <c r="AA65">
        <v>0.60399999999999998</v>
      </c>
      <c r="AB65">
        <v>0.73099999999999998</v>
      </c>
    </row>
    <row r="66" spans="1:28" x14ac:dyDescent="0.25">
      <c r="A66" t="s">
        <v>91</v>
      </c>
      <c r="B66">
        <v>4</v>
      </c>
      <c r="C66">
        <v>6.1470000000000002</v>
      </c>
      <c r="D66">
        <v>1.1100000000000001</v>
      </c>
      <c r="E66">
        <v>0.95</v>
      </c>
      <c r="F66">
        <v>1.03</v>
      </c>
      <c r="G66">
        <v>1.63</v>
      </c>
      <c r="H66">
        <v>1.47</v>
      </c>
      <c r="I66">
        <v>1.54</v>
      </c>
      <c r="J66">
        <v>1.4</v>
      </c>
      <c r="K66" s="5">
        <v>1.51</v>
      </c>
      <c r="L66">
        <v>40</v>
      </c>
      <c r="M66">
        <v>56</v>
      </c>
      <c r="N66">
        <v>96</v>
      </c>
      <c r="O66">
        <v>0.8</v>
      </c>
      <c r="P66">
        <v>0.92500000000000004</v>
      </c>
      <c r="Q66" s="4">
        <v>84.712000000000003</v>
      </c>
      <c r="R66" s="4">
        <v>15.511980060000001</v>
      </c>
      <c r="S66" s="4">
        <v>12.684046710000001</v>
      </c>
      <c r="T66" s="3">
        <v>47774.609729999996</v>
      </c>
      <c r="U66">
        <v>8.41</v>
      </c>
      <c r="V66" s="2">
        <v>6.5235412852565622E-3</v>
      </c>
      <c r="W66">
        <v>0.82</v>
      </c>
      <c r="X66">
        <v>0.73399999999999999</v>
      </c>
      <c r="Y66">
        <v>0.90200000000000002</v>
      </c>
      <c r="Z66">
        <v>0.93400000000000005</v>
      </c>
      <c r="AA66">
        <v>0.56200000000000006</v>
      </c>
      <c r="AB66">
        <v>0.90800000000000003</v>
      </c>
    </row>
    <row r="67" spans="1:28" x14ac:dyDescent="0.25">
      <c r="A67" t="s">
        <v>92</v>
      </c>
      <c r="B67">
        <v>1</v>
      </c>
      <c r="C67">
        <v>4.3099999999999996</v>
      </c>
      <c r="D67">
        <v>-0.77</v>
      </c>
      <c r="E67">
        <v>-0.2</v>
      </c>
      <c r="F67">
        <v>-0.48499999999999999</v>
      </c>
      <c r="G67">
        <v>0.39</v>
      </c>
      <c r="H67">
        <v>0.22</v>
      </c>
      <c r="I67">
        <v>0.26</v>
      </c>
      <c r="J67">
        <v>0.09</v>
      </c>
      <c r="K67" s="5">
        <v>0.24</v>
      </c>
      <c r="L67">
        <v>11</v>
      </c>
      <c r="M67">
        <v>22</v>
      </c>
      <c r="N67">
        <v>33</v>
      </c>
      <c r="O67">
        <v>0.77</v>
      </c>
      <c r="P67">
        <v>0.754</v>
      </c>
      <c r="Q67" s="4">
        <v>77.813999999999993</v>
      </c>
      <c r="R67" s="4">
        <v>13.109049799999999</v>
      </c>
      <c r="S67" s="4">
        <v>10.239999770000001</v>
      </c>
      <c r="T67" s="3">
        <v>9221.8723580000005</v>
      </c>
      <c r="U67">
        <v>8.2200000000000006</v>
      </c>
      <c r="V67" s="2">
        <v>-2.2206953679151931E-2</v>
      </c>
      <c r="W67">
        <v>0.27300000000000002</v>
      </c>
      <c r="X67">
        <v>0.27400000000000002</v>
      </c>
      <c r="Y67">
        <v>0.77200000000000002</v>
      </c>
      <c r="Z67">
        <v>0.57699999999999996</v>
      </c>
      <c r="AA67">
        <v>0.30199999999999999</v>
      </c>
      <c r="AB67">
        <v>0.876</v>
      </c>
    </row>
    <row r="68" spans="1:28" x14ac:dyDescent="0.25">
      <c r="A68" t="s">
        <v>93</v>
      </c>
      <c r="B68">
        <v>2</v>
      </c>
      <c r="C68">
        <v>6.3780000000000001</v>
      </c>
      <c r="D68">
        <v>-1</v>
      </c>
      <c r="E68">
        <v>-0.27</v>
      </c>
      <c r="F68">
        <v>-0.63500000000000001</v>
      </c>
      <c r="G68">
        <v>0.15</v>
      </c>
      <c r="H68">
        <v>7.0000000000000007E-2</v>
      </c>
      <c r="I68">
        <v>-0.45</v>
      </c>
      <c r="J68">
        <v>-0.27</v>
      </c>
      <c r="K68" s="5">
        <v>-0.125</v>
      </c>
      <c r="L68">
        <v>5</v>
      </c>
      <c r="M68">
        <v>18</v>
      </c>
      <c r="N68">
        <v>23</v>
      </c>
      <c r="O68">
        <v>0.85</v>
      </c>
      <c r="P68">
        <v>0.83699999999999997</v>
      </c>
      <c r="Q68" s="4">
        <v>74.402000000000001</v>
      </c>
      <c r="R68" s="4">
        <v>14.0086174</v>
      </c>
      <c r="S68" s="4">
        <v>12.54717423</v>
      </c>
      <c r="T68" s="3">
        <v>30988.528439999998</v>
      </c>
      <c r="U68">
        <v>17.63</v>
      </c>
      <c r="V68" s="2">
        <v>-2.8810409193634871E-2</v>
      </c>
      <c r="W68">
        <v>0.27200000000000002</v>
      </c>
      <c r="X68">
        <v>0.13400000000000001</v>
      </c>
      <c r="Y68">
        <v>0.32600000000000001</v>
      </c>
      <c r="Z68">
        <v>0.53900000000000003</v>
      </c>
      <c r="AA68">
        <v>0.29099999999999998</v>
      </c>
      <c r="AB68">
        <v>0.5</v>
      </c>
    </row>
    <row r="69" spans="1:28" x14ac:dyDescent="0.25">
      <c r="A69" t="s">
        <v>94</v>
      </c>
      <c r="B69">
        <v>3</v>
      </c>
      <c r="C69">
        <v>4.51</v>
      </c>
      <c r="D69">
        <v>-0.12</v>
      </c>
      <c r="E69">
        <v>-0.94</v>
      </c>
      <c r="F69">
        <v>-0.53</v>
      </c>
      <c r="G69">
        <v>-0.3</v>
      </c>
      <c r="H69">
        <v>-0.39</v>
      </c>
      <c r="I69">
        <v>-0.33</v>
      </c>
      <c r="J69">
        <v>-0.77</v>
      </c>
      <c r="K69" s="5">
        <v>-0.44750000000000001</v>
      </c>
      <c r="L69">
        <v>22</v>
      </c>
      <c r="M69">
        <v>30</v>
      </c>
      <c r="N69">
        <v>52</v>
      </c>
      <c r="O69">
        <v>0.7</v>
      </c>
      <c r="P69">
        <v>0.628</v>
      </c>
      <c r="Q69" s="4">
        <v>63.646000000000001</v>
      </c>
      <c r="R69" s="4">
        <v>11.474075729999999</v>
      </c>
      <c r="S69" s="4">
        <v>8.6247100830000001</v>
      </c>
      <c r="T69" s="3">
        <v>5608.2960659999999</v>
      </c>
      <c r="U69">
        <v>18.3</v>
      </c>
      <c r="V69" s="2">
        <v>1.498439800443951E-3</v>
      </c>
      <c r="W69">
        <v>0.54900000000000004</v>
      </c>
      <c r="X69">
        <v>0.432</v>
      </c>
      <c r="Y69">
        <v>0.76200000000000001</v>
      </c>
      <c r="Z69">
        <v>0.52100000000000002</v>
      </c>
      <c r="AA69">
        <v>0.58499999999999996</v>
      </c>
      <c r="AB69">
        <v>0.80600000000000005</v>
      </c>
    </row>
    <row r="70" spans="1:28" x14ac:dyDescent="0.25">
      <c r="A70" t="s">
        <v>95</v>
      </c>
      <c r="B70">
        <v>3</v>
      </c>
      <c r="C70">
        <v>6.6589999999999998</v>
      </c>
      <c r="D70">
        <v>-0.09</v>
      </c>
      <c r="E70">
        <v>-0.32</v>
      </c>
      <c r="F70">
        <v>-0.20499999999999999</v>
      </c>
      <c r="G70">
        <v>-0.08</v>
      </c>
      <c r="H70">
        <v>-0.3</v>
      </c>
      <c r="I70">
        <v>-0.31</v>
      </c>
      <c r="J70">
        <v>-0.19</v>
      </c>
      <c r="K70" s="5">
        <v>-0.22</v>
      </c>
      <c r="L70">
        <v>28</v>
      </c>
      <c r="M70">
        <v>32</v>
      </c>
      <c r="N70">
        <v>60</v>
      </c>
      <c r="O70">
        <v>0.86</v>
      </c>
      <c r="Q70" s="4"/>
      <c r="R70" s="4"/>
      <c r="S70" s="4"/>
      <c r="T70" s="3"/>
      <c r="U70">
        <v>18.059999999999999</v>
      </c>
      <c r="V70" s="2">
        <v>3.2997439237634207E-2</v>
      </c>
      <c r="W70">
        <v>0.65100000000000002</v>
      </c>
      <c r="X70">
        <v>0.47299999999999998</v>
      </c>
      <c r="Y70">
        <v>0.69199999999999995</v>
      </c>
      <c r="Z70">
        <v>0.67500000000000004</v>
      </c>
      <c r="AA70">
        <v>0.46800000000000003</v>
      </c>
      <c r="AB70">
        <v>0.55000000000000004</v>
      </c>
    </row>
    <row r="71" spans="1:28" x14ac:dyDescent="0.25">
      <c r="A71" t="s">
        <v>96</v>
      </c>
      <c r="B71">
        <v>1</v>
      </c>
      <c r="C71">
        <v>6.6289999999999996</v>
      </c>
      <c r="D71">
        <v>-0.59</v>
      </c>
      <c r="E71">
        <v>0.41</v>
      </c>
      <c r="F71">
        <v>-0.09</v>
      </c>
      <c r="G71">
        <v>0.01</v>
      </c>
      <c r="H71">
        <v>0.32</v>
      </c>
      <c r="I71">
        <v>0.34</v>
      </c>
      <c r="J71">
        <v>0.21</v>
      </c>
      <c r="K71" s="5">
        <v>0.22</v>
      </c>
      <c r="L71">
        <v>14</v>
      </c>
      <c r="M71">
        <v>24</v>
      </c>
      <c r="N71">
        <v>38</v>
      </c>
      <c r="P71">
        <v>0.85199999999999998</v>
      </c>
      <c r="Q71" s="4">
        <v>80.405000000000001</v>
      </c>
      <c r="R71" s="4">
        <v>15.904240290000001</v>
      </c>
      <c r="S71" s="4">
        <v>7.5660071120000003</v>
      </c>
      <c r="T71" s="3">
        <v>56612.046990000003</v>
      </c>
      <c r="U71">
        <v>11.31</v>
      </c>
      <c r="V71" s="2">
        <v>3.903265274267198E-2</v>
      </c>
      <c r="W71">
        <v>0.29199999999999998</v>
      </c>
      <c r="X71">
        <v>0.26600000000000001</v>
      </c>
      <c r="Y71">
        <v>0.71599999999999997</v>
      </c>
      <c r="Z71">
        <v>0.61299999999999999</v>
      </c>
      <c r="AA71">
        <v>0.14799999999999999</v>
      </c>
      <c r="AB71">
        <v>0.433</v>
      </c>
    </row>
    <row r="72" spans="1:28" x14ac:dyDescent="0.25">
      <c r="A72" t="s">
        <v>97</v>
      </c>
      <c r="B72">
        <v>2</v>
      </c>
      <c r="C72">
        <v>5.9729999999999999</v>
      </c>
      <c r="D72">
        <v>-0.72</v>
      </c>
      <c r="E72">
        <v>-0.48</v>
      </c>
      <c r="F72">
        <v>-0.6</v>
      </c>
      <c r="G72">
        <v>-0.89</v>
      </c>
      <c r="H72">
        <v>-0.62</v>
      </c>
      <c r="I72">
        <v>-1.17</v>
      </c>
      <c r="J72">
        <v>-1.22</v>
      </c>
      <c r="K72" s="5">
        <v>-0.97499999999999987</v>
      </c>
      <c r="L72">
        <v>4</v>
      </c>
      <c r="M72">
        <v>23</v>
      </c>
      <c r="N72">
        <v>27</v>
      </c>
      <c r="O72">
        <v>0.93400000000000005</v>
      </c>
      <c r="P72">
        <v>0.41399999999999998</v>
      </c>
      <c r="Q72" s="4">
        <v>57.408000000000001</v>
      </c>
      <c r="R72" s="4">
        <v>7.4357677779999998</v>
      </c>
      <c r="S72" s="4">
        <v>3.989431459</v>
      </c>
      <c r="T72" s="3">
        <v>1099.8606810000001</v>
      </c>
      <c r="U72">
        <v>18.809999999999999</v>
      </c>
      <c r="V72" s="2">
        <v>5.9075764754897842E-3</v>
      </c>
      <c r="W72">
        <v>0.33300000000000002</v>
      </c>
      <c r="X72">
        <v>0.183</v>
      </c>
      <c r="Y72">
        <v>0.41099999999999998</v>
      </c>
      <c r="Z72">
        <v>0.61899999999999999</v>
      </c>
      <c r="AA72">
        <v>0.39700000000000002</v>
      </c>
      <c r="AB72">
        <v>0.373</v>
      </c>
    </row>
    <row r="73" spans="1:28" x14ac:dyDescent="0.25">
      <c r="A73" t="s">
        <v>98</v>
      </c>
      <c r="B73">
        <v>1</v>
      </c>
      <c r="C73">
        <v>5.3010000000000002</v>
      </c>
      <c r="D73">
        <v>-1.63</v>
      </c>
      <c r="E73">
        <v>0.81</v>
      </c>
      <c r="F73">
        <v>-0.40999999999999992</v>
      </c>
      <c r="G73">
        <v>-0.64</v>
      </c>
      <c r="H73">
        <v>-0.93</v>
      </c>
      <c r="I73">
        <v>-0.83</v>
      </c>
      <c r="J73">
        <v>-0.97</v>
      </c>
      <c r="K73" s="5">
        <v>-0.84250000000000003</v>
      </c>
      <c r="L73">
        <v>2</v>
      </c>
      <c r="M73">
        <v>11</v>
      </c>
      <c r="N73">
        <v>13</v>
      </c>
      <c r="O73">
        <v>0.91900000000000004</v>
      </c>
      <c r="P73">
        <v>0.61699999999999999</v>
      </c>
      <c r="Q73" s="4">
        <v>68.963999999999999</v>
      </c>
      <c r="R73" s="4">
        <v>9.6054830550000005</v>
      </c>
      <c r="S73" s="4">
        <v>6.0602461600000002</v>
      </c>
      <c r="T73" s="3">
        <v>8106.1532180000004</v>
      </c>
      <c r="U73">
        <v>21.23</v>
      </c>
      <c r="V73" s="2"/>
      <c r="W73">
        <v>0.13400000000000001</v>
      </c>
      <c r="X73">
        <v>0.10199999999999999</v>
      </c>
      <c r="Y73">
        <v>0.33900000000000002</v>
      </c>
      <c r="Z73">
        <v>0.42799999999999999</v>
      </c>
      <c r="AA73">
        <v>0.38600000000000001</v>
      </c>
      <c r="AB73">
        <v>0.16400000000000001</v>
      </c>
    </row>
    <row r="74" spans="1:28" x14ac:dyDescent="0.25">
      <c r="A74" t="s">
        <v>99</v>
      </c>
      <c r="B74">
        <v>4</v>
      </c>
      <c r="C74">
        <v>6.2069999999999999</v>
      </c>
      <c r="D74">
        <v>0.99</v>
      </c>
      <c r="E74">
        <v>0.59</v>
      </c>
      <c r="F74">
        <v>0.79</v>
      </c>
      <c r="G74">
        <v>0.7</v>
      </c>
      <c r="H74">
        <v>1.17</v>
      </c>
      <c r="I74">
        <v>1.04</v>
      </c>
      <c r="J74">
        <v>0.7</v>
      </c>
      <c r="K74" s="5">
        <v>0.90250000000000008</v>
      </c>
      <c r="L74">
        <v>37</v>
      </c>
      <c r="M74">
        <v>51</v>
      </c>
      <c r="N74">
        <v>88</v>
      </c>
      <c r="O74">
        <v>0.82</v>
      </c>
      <c r="P74">
        <v>0.88900000000000001</v>
      </c>
      <c r="Q74" s="4">
        <v>76.19</v>
      </c>
      <c r="R74" s="4">
        <v>16.482650759999999</v>
      </c>
      <c r="S74" s="4">
        <v>13.40943983</v>
      </c>
      <c r="T74" s="3">
        <v>37997.822330000003</v>
      </c>
      <c r="U74" t="s">
        <v>222</v>
      </c>
      <c r="V74" s="2">
        <v>2.426506010767548E-3</v>
      </c>
      <c r="W74">
        <v>0.83799999999999997</v>
      </c>
      <c r="X74">
        <v>0.76500000000000001</v>
      </c>
      <c r="Y74">
        <v>0.92200000000000004</v>
      </c>
      <c r="Z74">
        <v>0.86599999999999999</v>
      </c>
      <c r="AA74">
        <v>0.66100000000000003</v>
      </c>
      <c r="AB74">
        <v>0.82199999999999995</v>
      </c>
    </row>
    <row r="75" spans="1:28" x14ac:dyDescent="0.25">
      <c r="A75" t="s">
        <v>100</v>
      </c>
      <c r="B75">
        <v>1</v>
      </c>
      <c r="C75">
        <v>3.1880000000000002</v>
      </c>
      <c r="D75">
        <v>-0.65</v>
      </c>
      <c r="E75">
        <v>-1.52</v>
      </c>
      <c r="F75">
        <v>-1.085</v>
      </c>
      <c r="G75">
        <v>-1.58</v>
      </c>
      <c r="H75">
        <v>-1.01</v>
      </c>
      <c r="I75">
        <v>-1.17</v>
      </c>
      <c r="J75">
        <v>-1.23</v>
      </c>
      <c r="K75" s="5">
        <v>-1.2475000000000001</v>
      </c>
      <c r="L75">
        <v>13</v>
      </c>
      <c r="M75">
        <v>29</v>
      </c>
      <c r="N75">
        <v>42</v>
      </c>
      <c r="O75">
        <v>0.47</v>
      </c>
      <c r="P75">
        <v>0.752</v>
      </c>
      <c r="Q75" s="4">
        <v>77.816999999999993</v>
      </c>
      <c r="R75" s="4">
        <v>11.68299961</v>
      </c>
      <c r="S75" s="4">
        <v>10.369999890000001</v>
      </c>
      <c r="T75" s="3">
        <v>11298.88724</v>
      </c>
      <c r="U75">
        <v>21.23</v>
      </c>
      <c r="V75" s="2"/>
      <c r="W75">
        <v>0.34799999999999998</v>
      </c>
      <c r="X75">
        <v>0.20699999999999999</v>
      </c>
      <c r="Y75">
        <v>0.46300000000000002</v>
      </c>
      <c r="Z75">
        <v>0.379</v>
      </c>
      <c r="AA75">
        <v>0.42099999999999999</v>
      </c>
      <c r="AB75">
        <v>0.55700000000000005</v>
      </c>
    </row>
    <row r="76" spans="1:28" x14ac:dyDescent="0.25">
      <c r="A76" t="s">
        <v>101</v>
      </c>
      <c r="B76">
        <v>3</v>
      </c>
      <c r="C76">
        <v>3.7570000000000001</v>
      </c>
      <c r="D76">
        <v>0.03</v>
      </c>
      <c r="E76">
        <v>-0.31</v>
      </c>
      <c r="F76">
        <v>-0.14000000000000001</v>
      </c>
      <c r="G76">
        <v>-0.95</v>
      </c>
      <c r="H76">
        <v>-0.59</v>
      </c>
      <c r="I76">
        <v>-0.48</v>
      </c>
      <c r="J76">
        <v>-0.51</v>
      </c>
      <c r="K76" s="5">
        <v>-0.63250000000000006</v>
      </c>
      <c r="L76">
        <v>30</v>
      </c>
      <c r="M76">
        <v>36</v>
      </c>
      <c r="N76">
        <v>66</v>
      </c>
      <c r="P76">
        <v>0.55000000000000004</v>
      </c>
      <c r="Q76" s="4">
        <v>57.375</v>
      </c>
      <c r="R76" s="4">
        <v>10.98659352</v>
      </c>
      <c r="S76" s="4">
        <v>7.7298834860000003</v>
      </c>
      <c r="T76" s="3">
        <v>3029.3856999999998</v>
      </c>
      <c r="U76" t="s">
        <v>222</v>
      </c>
      <c r="V76" s="2">
        <v>8.9482341663406961E-2</v>
      </c>
      <c r="W76">
        <v>0.65800000000000003</v>
      </c>
      <c r="X76">
        <v>0.51600000000000001</v>
      </c>
      <c r="Y76">
        <v>0.76</v>
      </c>
      <c r="Z76">
        <v>0.752</v>
      </c>
      <c r="AA76">
        <v>0.55200000000000005</v>
      </c>
      <c r="AB76">
        <v>0.74199999999999999</v>
      </c>
    </row>
    <row r="77" spans="1:28" x14ac:dyDescent="0.25">
      <c r="A77" t="s">
        <v>102</v>
      </c>
      <c r="B77">
        <v>3</v>
      </c>
      <c r="C77">
        <v>4.2770000000000001</v>
      </c>
      <c r="D77">
        <v>0.05</v>
      </c>
      <c r="E77">
        <v>-0.12</v>
      </c>
      <c r="F77">
        <v>-3.5000000000000003E-2</v>
      </c>
      <c r="G77">
        <v>-1.36</v>
      </c>
      <c r="H77">
        <v>-0.92</v>
      </c>
      <c r="I77">
        <v>-1.03</v>
      </c>
      <c r="J77">
        <v>-0.89</v>
      </c>
      <c r="K77" s="5">
        <v>-1.05</v>
      </c>
      <c r="L77">
        <v>30</v>
      </c>
      <c r="M77">
        <v>34</v>
      </c>
      <c r="N77">
        <v>64</v>
      </c>
      <c r="O77">
        <v>0.74</v>
      </c>
      <c r="P77">
        <v>0.51</v>
      </c>
      <c r="Q77" s="4">
        <v>62.162999999999997</v>
      </c>
      <c r="R77" s="4">
        <v>10.465853689999999</v>
      </c>
      <c r="S77" s="4">
        <v>6.1698919549999998</v>
      </c>
      <c r="T77" s="3">
        <v>1537.8593900000001</v>
      </c>
      <c r="U77" t="s">
        <v>222</v>
      </c>
      <c r="V77" s="2">
        <v>1.8881950477260601E-2</v>
      </c>
      <c r="W77">
        <v>0.61299999999999999</v>
      </c>
      <c r="X77">
        <v>0.40400000000000003</v>
      </c>
      <c r="Y77">
        <v>0.60699999999999998</v>
      </c>
      <c r="Z77">
        <v>0.56699999999999995</v>
      </c>
      <c r="AA77">
        <v>0.46400000000000002</v>
      </c>
      <c r="AB77">
        <v>0.81100000000000005</v>
      </c>
    </row>
    <row r="78" spans="1:28" x14ac:dyDescent="0.25">
      <c r="A78" t="s">
        <v>103</v>
      </c>
      <c r="B78">
        <v>1</v>
      </c>
      <c r="C78">
        <v>5.82</v>
      </c>
      <c r="D78">
        <v>-1.39</v>
      </c>
      <c r="E78">
        <v>-2.17</v>
      </c>
      <c r="F78">
        <v>-1.78</v>
      </c>
      <c r="G78">
        <v>-1.64</v>
      </c>
      <c r="H78">
        <v>-1.95</v>
      </c>
      <c r="I78">
        <v>-1.77</v>
      </c>
      <c r="J78">
        <v>-1.53</v>
      </c>
      <c r="K78" s="5">
        <v>-1.7224999999999999</v>
      </c>
      <c r="L78">
        <v>1</v>
      </c>
      <c r="M78">
        <v>8</v>
      </c>
      <c r="N78">
        <v>9</v>
      </c>
      <c r="P78">
        <v>0.72099999999999997</v>
      </c>
      <c r="Q78" s="4">
        <v>69.338999999999999</v>
      </c>
      <c r="R78" s="4">
        <v>12.92465677</v>
      </c>
      <c r="S78" s="4">
        <v>7.77860643</v>
      </c>
      <c r="T78" s="3">
        <v>19831.432359999999</v>
      </c>
      <c r="U78">
        <v>20.77</v>
      </c>
      <c r="V78" s="2"/>
      <c r="W78">
        <v>0.19600000000000001</v>
      </c>
      <c r="X78">
        <v>0.106</v>
      </c>
      <c r="Y78">
        <v>0.30299999999999999</v>
      </c>
      <c r="Z78">
        <v>0.375</v>
      </c>
      <c r="AA78">
        <v>0.23400000000000001</v>
      </c>
      <c r="AB78">
        <v>0.754</v>
      </c>
    </row>
    <row r="79" spans="1:28" x14ac:dyDescent="0.25">
      <c r="A79" t="s">
        <v>104</v>
      </c>
      <c r="B79">
        <v>3</v>
      </c>
      <c r="C79">
        <v>6.8289999999999997</v>
      </c>
      <c r="D79">
        <v>1.07</v>
      </c>
      <c r="E79">
        <v>0.74</v>
      </c>
      <c r="F79">
        <v>0.90500000000000003</v>
      </c>
      <c r="G79">
        <v>1.05</v>
      </c>
      <c r="H79">
        <v>1.34</v>
      </c>
      <c r="I79">
        <v>1.27</v>
      </c>
      <c r="J79">
        <v>0.78</v>
      </c>
      <c r="K79" s="5">
        <v>1.1100000000000001</v>
      </c>
      <c r="L79">
        <v>38</v>
      </c>
      <c r="M79">
        <v>51</v>
      </c>
      <c r="N79">
        <v>89</v>
      </c>
      <c r="O79">
        <v>0.75</v>
      </c>
      <c r="P79">
        <v>0.89500000000000002</v>
      </c>
      <c r="Q79" s="4">
        <v>76.025000000000006</v>
      </c>
      <c r="R79" s="4">
        <v>16.45467949</v>
      </c>
      <c r="S79" s="4">
        <v>13.610692390000001</v>
      </c>
      <c r="T79" s="3">
        <v>41916.465790000002</v>
      </c>
      <c r="U79">
        <v>15.52</v>
      </c>
      <c r="V79" s="2">
        <v>8.1644866970692287E-2</v>
      </c>
      <c r="W79">
        <v>0.79900000000000004</v>
      </c>
      <c r="X79">
        <v>0.73399999999999999</v>
      </c>
      <c r="Y79">
        <v>0.93600000000000005</v>
      </c>
      <c r="Z79">
        <v>0.877</v>
      </c>
      <c r="AA79">
        <v>0.67900000000000005</v>
      </c>
      <c r="AB79">
        <v>0.80900000000000005</v>
      </c>
    </row>
    <row r="80" spans="1:28" x14ac:dyDescent="0.25">
      <c r="A80" t="s">
        <v>105</v>
      </c>
      <c r="B80">
        <v>4</v>
      </c>
      <c r="C80">
        <v>7.1219999999999999</v>
      </c>
      <c r="D80">
        <v>1.63</v>
      </c>
      <c r="E80">
        <v>1.05</v>
      </c>
      <c r="F80">
        <v>1.34</v>
      </c>
      <c r="G80">
        <v>1.91</v>
      </c>
      <c r="H80">
        <v>1.93</v>
      </c>
      <c r="I80">
        <v>1.75</v>
      </c>
      <c r="J80">
        <v>1.93</v>
      </c>
      <c r="K80" s="5">
        <v>1.88</v>
      </c>
      <c r="L80">
        <v>38</v>
      </c>
      <c r="M80">
        <v>59</v>
      </c>
      <c r="N80">
        <v>97</v>
      </c>
      <c r="O80">
        <v>0.91</v>
      </c>
      <c r="P80">
        <v>0.92200000000000004</v>
      </c>
      <c r="Q80" s="4">
        <v>82.228999999999999</v>
      </c>
      <c r="R80" s="4">
        <v>14.35795021</v>
      </c>
      <c r="S80" s="4">
        <v>12.58937195</v>
      </c>
      <c r="T80" s="3">
        <v>85461.248330000002</v>
      </c>
      <c r="U80" t="s">
        <v>222</v>
      </c>
      <c r="V80" s="2">
        <v>0.1091642866996172</v>
      </c>
      <c r="W80">
        <v>0.86699999999999999</v>
      </c>
      <c r="X80">
        <v>0.78300000000000003</v>
      </c>
      <c r="Y80">
        <v>0.90300000000000002</v>
      </c>
      <c r="Z80">
        <v>0.93700000000000006</v>
      </c>
      <c r="AA80">
        <v>0.56799999999999995</v>
      </c>
      <c r="AB80">
        <v>0.97099999999999997</v>
      </c>
    </row>
    <row r="81" spans="1:28" x14ac:dyDescent="0.25">
      <c r="A81" t="s">
        <v>106</v>
      </c>
      <c r="B81">
        <v>2</v>
      </c>
      <c r="C81">
        <v>4.157</v>
      </c>
      <c r="D81">
        <v>-0.32</v>
      </c>
      <c r="E81">
        <v>-0.69</v>
      </c>
      <c r="F81">
        <v>-0.505</v>
      </c>
      <c r="G81">
        <v>-1.02</v>
      </c>
      <c r="H81">
        <v>-0.8</v>
      </c>
      <c r="I81">
        <v>-0.97</v>
      </c>
      <c r="J81">
        <v>-1</v>
      </c>
      <c r="K81" s="5">
        <v>-0.94750000000000001</v>
      </c>
      <c r="L81">
        <v>24</v>
      </c>
      <c r="M81">
        <v>34</v>
      </c>
      <c r="N81">
        <v>58</v>
      </c>
      <c r="O81">
        <v>0.52</v>
      </c>
      <c r="P81">
        <v>0.48699999999999999</v>
      </c>
      <c r="Q81" s="4">
        <v>63.631999999999998</v>
      </c>
      <c r="R81" s="4">
        <v>9.0625845030000001</v>
      </c>
      <c r="S81" s="4">
        <v>4.5925202369999996</v>
      </c>
      <c r="T81" s="3">
        <v>1655.7646830000001</v>
      </c>
      <c r="U81">
        <v>30.08</v>
      </c>
      <c r="V81" s="2">
        <v>5.9969379484098306E-3</v>
      </c>
      <c r="W81">
        <v>0.41699999999999998</v>
      </c>
      <c r="X81">
        <v>0.221</v>
      </c>
      <c r="Y81">
        <v>0.41899999999999998</v>
      </c>
      <c r="Z81">
        <v>0.32</v>
      </c>
      <c r="AA81">
        <v>0.49399999999999999</v>
      </c>
      <c r="AB81">
        <v>0.38900000000000001</v>
      </c>
    </row>
    <row r="82" spans="1:28" x14ac:dyDescent="0.25">
      <c r="A82" t="s">
        <v>107</v>
      </c>
      <c r="B82">
        <v>3</v>
      </c>
      <c r="C82">
        <v>3.26</v>
      </c>
      <c r="D82">
        <v>0.08</v>
      </c>
      <c r="E82">
        <v>-0.24</v>
      </c>
      <c r="F82">
        <v>-7.9999999999999988E-2</v>
      </c>
      <c r="G82">
        <v>-0.86</v>
      </c>
      <c r="H82">
        <v>-0.77</v>
      </c>
      <c r="I82">
        <v>-0.16</v>
      </c>
      <c r="J82">
        <v>-0.6</v>
      </c>
      <c r="K82" s="5">
        <v>-0.59749999999999992</v>
      </c>
      <c r="L82">
        <v>29</v>
      </c>
      <c r="M82">
        <v>37</v>
      </c>
      <c r="N82">
        <v>66</v>
      </c>
      <c r="O82">
        <v>0.75</v>
      </c>
      <c r="P82">
        <v>0.51700000000000002</v>
      </c>
      <c r="Q82" s="4">
        <v>67.352999999999994</v>
      </c>
      <c r="R82" s="4">
        <v>9.9025917050000007</v>
      </c>
      <c r="S82" s="4">
        <v>5.2437400820000004</v>
      </c>
      <c r="T82" s="3">
        <v>1633.6926149999999</v>
      </c>
      <c r="U82">
        <v>13.39</v>
      </c>
      <c r="V82" s="2">
        <v>-1.203972494690631E-2</v>
      </c>
      <c r="W82">
        <v>0.57999999999999996</v>
      </c>
      <c r="X82">
        <v>0.48199999999999998</v>
      </c>
      <c r="Y82">
        <v>0.82299999999999995</v>
      </c>
      <c r="Z82">
        <v>0.51</v>
      </c>
      <c r="AA82">
        <v>0.58499999999999996</v>
      </c>
      <c r="AB82">
        <v>0.745</v>
      </c>
    </row>
    <row r="83" spans="1:28" x14ac:dyDescent="0.25">
      <c r="A83" t="s">
        <v>108</v>
      </c>
      <c r="B83">
        <v>3</v>
      </c>
      <c r="C83">
        <v>5.9550000000000001</v>
      </c>
      <c r="D83">
        <v>0.09</v>
      </c>
      <c r="E83">
        <v>0.17</v>
      </c>
      <c r="F83">
        <v>0.13</v>
      </c>
      <c r="G83">
        <v>0.88</v>
      </c>
      <c r="H83">
        <v>0.66</v>
      </c>
      <c r="I83">
        <v>0.56999999999999995</v>
      </c>
      <c r="J83">
        <v>0.3</v>
      </c>
      <c r="K83" s="5">
        <v>0.60249999999999992</v>
      </c>
      <c r="L83">
        <v>22</v>
      </c>
      <c r="M83">
        <v>31</v>
      </c>
      <c r="N83">
        <v>53</v>
      </c>
      <c r="O83">
        <v>0.88</v>
      </c>
      <c r="P83">
        <v>0.81899999999999995</v>
      </c>
      <c r="Q83" s="4">
        <v>76.656999999999996</v>
      </c>
      <c r="R83" s="4">
        <v>12.67639256</v>
      </c>
      <c r="S83" s="4">
        <v>11.09000015</v>
      </c>
      <c r="T83" s="3">
        <v>32553.091079999998</v>
      </c>
      <c r="U83">
        <v>20.239999999999998</v>
      </c>
      <c r="V83" s="2">
        <v>-2.21205851177847E-2</v>
      </c>
      <c r="W83">
        <v>0.51700000000000002</v>
      </c>
      <c r="X83">
        <v>0.36199999999999999</v>
      </c>
      <c r="Y83">
        <v>0.64300000000000002</v>
      </c>
      <c r="Z83">
        <v>0.70899999999999996</v>
      </c>
      <c r="AA83">
        <v>0.53800000000000003</v>
      </c>
      <c r="AB83">
        <v>0.67300000000000004</v>
      </c>
    </row>
    <row r="84" spans="1:28" x14ac:dyDescent="0.25">
      <c r="A84" t="s">
        <v>109</v>
      </c>
      <c r="B84">
        <v>1</v>
      </c>
      <c r="C84">
        <v>4.3449999999999998</v>
      </c>
      <c r="D84">
        <v>-1.01</v>
      </c>
      <c r="E84">
        <v>-2.73</v>
      </c>
      <c r="F84">
        <v>-1.87</v>
      </c>
      <c r="G84">
        <v>-1.1399999999999999</v>
      </c>
      <c r="H84">
        <v>-0.68</v>
      </c>
      <c r="I84">
        <v>-0.98</v>
      </c>
      <c r="J84">
        <v>-0.86</v>
      </c>
      <c r="K84" s="5">
        <v>-0.91499999999999992</v>
      </c>
      <c r="L84">
        <v>6</v>
      </c>
      <c r="M84">
        <v>20</v>
      </c>
      <c r="N84">
        <v>26</v>
      </c>
      <c r="O84">
        <v>0.71</v>
      </c>
      <c r="P84">
        <v>0.41899999999999998</v>
      </c>
      <c r="Q84" s="4">
        <v>60.439</v>
      </c>
      <c r="R84" s="4">
        <v>7.0113315329999999</v>
      </c>
      <c r="S84" s="4">
        <v>1.6299999949999999</v>
      </c>
      <c r="T84" s="3">
        <v>2341.5881180000001</v>
      </c>
      <c r="U84" t="s">
        <v>222</v>
      </c>
      <c r="V84" s="2">
        <v>3.1748151275156071E-3</v>
      </c>
      <c r="W84">
        <v>0.19900000000000001</v>
      </c>
      <c r="X84">
        <v>0.14699999999999999</v>
      </c>
      <c r="Y84">
        <v>0.442</v>
      </c>
      <c r="Z84">
        <v>0.61799999999999999</v>
      </c>
      <c r="AA84">
        <v>0.54300000000000004</v>
      </c>
      <c r="AB84">
        <v>0.73299999999999998</v>
      </c>
    </row>
    <row r="85" spans="1:28" x14ac:dyDescent="0.25">
      <c r="A85" t="s">
        <v>110</v>
      </c>
      <c r="B85">
        <v>3</v>
      </c>
      <c r="C85">
        <v>6.3159999999999998</v>
      </c>
      <c r="D85">
        <v>0.91</v>
      </c>
      <c r="E85">
        <v>0.86</v>
      </c>
      <c r="F85">
        <v>0.88500000000000001</v>
      </c>
      <c r="G85">
        <v>0.4</v>
      </c>
      <c r="H85">
        <v>0.69</v>
      </c>
      <c r="I85">
        <v>0.7</v>
      </c>
      <c r="J85">
        <v>0.11</v>
      </c>
      <c r="K85" s="5">
        <v>0.47499999999999998</v>
      </c>
      <c r="L85">
        <v>35</v>
      </c>
      <c r="M85">
        <v>52</v>
      </c>
      <c r="N85">
        <v>87</v>
      </c>
      <c r="O85">
        <v>0.89</v>
      </c>
      <c r="P85">
        <v>0.92400000000000004</v>
      </c>
      <c r="Q85" s="4">
        <v>83.299000000000007</v>
      </c>
      <c r="R85" s="4">
        <v>15.90985012</v>
      </c>
      <c r="S85" s="4">
        <v>12.4207021</v>
      </c>
      <c r="T85" s="3">
        <v>52155.074869999997</v>
      </c>
      <c r="U85">
        <v>21.15</v>
      </c>
      <c r="V85" s="2">
        <v>3.6995157680774222E-2</v>
      </c>
      <c r="W85">
        <v>0.78500000000000003</v>
      </c>
      <c r="X85">
        <v>0.63700000000000001</v>
      </c>
      <c r="Y85">
        <v>0.79700000000000004</v>
      </c>
      <c r="Z85">
        <v>0.89200000000000002</v>
      </c>
      <c r="AA85">
        <v>0.63700000000000001</v>
      </c>
      <c r="AB85">
        <v>0.8</v>
      </c>
    </row>
    <row r="86" spans="1:28" x14ac:dyDescent="0.25">
      <c r="A86" t="s">
        <v>111</v>
      </c>
      <c r="B86">
        <v>2</v>
      </c>
      <c r="C86">
        <v>4.5419999999999998</v>
      </c>
      <c r="D86">
        <v>-0.66</v>
      </c>
      <c r="E86">
        <v>-0.5</v>
      </c>
      <c r="F86">
        <v>-0.58000000000000007</v>
      </c>
      <c r="G86">
        <v>-0.76</v>
      </c>
      <c r="H86">
        <v>-1</v>
      </c>
      <c r="I86">
        <v>-0.64</v>
      </c>
      <c r="J86">
        <v>-0.82</v>
      </c>
      <c r="K86" s="5">
        <v>-0.80499999999999994</v>
      </c>
      <c r="L86">
        <v>15</v>
      </c>
      <c r="M86">
        <v>24</v>
      </c>
      <c r="N86">
        <v>39</v>
      </c>
      <c r="O86">
        <v>0.62</v>
      </c>
      <c r="P86">
        <v>0.56299999999999994</v>
      </c>
      <c r="Q86" s="4">
        <v>68.483999999999995</v>
      </c>
      <c r="R86" s="4">
        <v>7.949540636</v>
      </c>
      <c r="S86" s="4">
        <v>4.8520258619999996</v>
      </c>
      <c r="T86" s="3">
        <v>6267.470808</v>
      </c>
      <c r="U86">
        <v>14.6</v>
      </c>
      <c r="V86" s="2">
        <v>4.3408653112207976E-3</v>
      </c>
      <c r="W86">
        <v>0.33300000000000002</v>
      </c>
      <c r="X86">
        <v>0.13500000000000001</v>
      </c>
      <c r="Y86">
        <v>0.26600000000000001</v>
      </c>
      <c r="Z86">
        <v>0.32100000000000001</v>
      </c>
      <c r="AA86">
        <v>0.54200000000000004</v>
      </c>
      <c r="AB86">
        <v>0.57899999999999996</v>
      </c>
    </row>
    <row r="87" spans="1:28" x14ac:dyDescent="0.25">
      <c r="A87" t="s">
        <v>112</v>
      </c>
      <c r="B87">
        <v>2</v>
      </c>
      <c r="C87">
        <v>5.8319999999999999</v>
      </c>
      <c r="D87">
        <v>0.62</v>
      </c>
      <c r="E87">
        <v>0.78</v>
      </c>
      <c r="F87">
        <v>0.7</v>
      </c>
      <c r="G87">
        <v>0.71</v>
      </c>
      <c r="H87">
        <v>1.06</v>
      </c>
      <c r="I87">
        <v>0.81</v>
      </c>
      <c r="J87">
        <v>0.45</v>
      </c>
      <c r="K87" s="5">
        <v>0.75750000000000006</v>
      </c>
      <c r="L87">
        <v>35</v>
      </c>
      <c r="M87">
        <v>50</v>
      </c>
      <c r="N87">
        <v>85</v>
      </c>
      <c r="O87">
        <v>0.81</v>
      </c>
      <c r="P87">
        <v>0.80600000000000005</v>
      </c>
      <c r="Q87" s="4">
        <v>74.926000000000002</v>
      </c>
      <c r="R87" s="4">
        <v>14.16282114</v>
      </c>
      <c r="S87" s="4">
        <v>10.10332754</v>
      </c>
      <c r="T87" s="3">
        <v>27279.96011</v>
      </c>
      <c r="U87">
        <v>30.37</v>
      </c>
      <c r="V87" s="2">
        <v>2.9765536828155751E-2</v>
      </c>
      <c r="W87">
        <v>0.49199999999999999</v>
      </c>
      <c r="X87">
        <v>0.36799999999999999</v>
      </c>
      <c r="Y87">
        <v>0.69799999999999995</v>
      </c>
      <c r="Z87">
        <v>0.71299999999999997</v>
      </c>
      <c r="AA87">
        <v>0.57399999999999995</v>
      </c>
      <c r="AB87">
        <v>0.8</v>
      </c>
    </row>
    <row r="88" spans="1:28" x14ac:dyDescent="0.25">
      <c r="A88" t="s">
        <v>113</v>
      </c>
      <c r="B88">
        <v>3</v>
      </c>
      <c r="C88">
        <v>6.9790000000000001</v>
      </c>
      <c r="D88">
        <v>-0.12</v>
      </c>
      <c r="E88">
        <v>-0.63</v>
      </c>
      <c r="F88">
        <v>-0.375</v>
      </c>
      <c r="G88">
        <v>-0.2</v>
      </c>
      <c r="H88">
        <v>-0.17</v>
      </c>
      <c r="I88">
        <v>-0.81</v>
      </c>
      <c r="J88">
        <v>-1.02</v>
      </c>
      <c r="K88" s="5">
        <v>-0.55000000000000004</v>
      </c>
      <c r="L88">
        <v>27</v>
      </c>
      <c r="M88">
        <v>33</v>
      </c>
      <c r="N88">
        <v>60</v>
      </c>
      <c r="O88">
        <v>0.86</v>
      </c>
      <c r="P88">
        <v>0.78900000000000003</v>
      </c>
      <c r="Q88" s="4">
        <v>75.069000000000003</v>
      </c>
      <c r="R88" s="4">
        <v>14.468110080000001</v>
      </c>
      <c r="S88" s="4">
        <v>9.3495109339999996</v>
      </c>
      <c r="T88" s="3">
        <v>21812.65566</v>
      </c>
      <c r="U88">
        <v>14.36</v>
      </c>
      <c r="V88" s="2">
        <v>2.2032760444682391E-3</v>
      </c>
      <c r="W88">
        <v>0.505</v>
      </c>
      <c r="X88">
        <v>0.251</v>
      </c>
      <c r="Y88">
        <v>0.39700000000000002</v>
      </c>
      <c r="Z88">
        <v>0.438</v>
      </c>
      <c r="AA88">
        <v>0.61699999999999999</v>
      </c>
      <c r="AB88">
        <v>0.42299999999999999</v>
      </c>
    </row>
    <row r="89" spans="1:28" x14ac:dyDescent="0.25">
      <c r="A89" t="s">
        <v>114</v>
      </c>
      <c r="B89">
        <v>3</v>
      </c>
      <c r="C89">
        <v>5.39</v>
      </c>
      <c r="D89">
        <v>0.24</v>
      </c>
      <c r="E89">
        <v>-0.68</v>
      </c>
      <c r="F89">
        <v>-0.22</v>
      </c>
      <c r="G89">
        <v>-0.16</v>
      </c>
      <c r="H89">
        <v>0.11</v>
      </c>
      <c r="I89">
        <v>-0.15</v>
      </c>
      <c r="J89">
        <v>-0.28000000000000003</v>
      </c>
      <c r="K89" s="5">
        <v>-0.12</v>
      </c>
      <c r="L89">
        <v>26</v>
      </c>
      <c r="M89">
        <v>35</v>
      </c>
      <c r="N89">
        <v>61</v>
      </c>
      <c r="O89">
        <v>0.84</v>
      </c>
      <c r="P89">
        <v>0.78500000000000003</v>
      </c>
      <c r="Q89" s="4">
        <v>71.197999999999993</v>
      </c>
      <c r="R89" s="4">
        <v>14.638568469999999</v>
      </c>
      <c r="S89" s="4">
        <v>11.829999920000001</v>
      </c>
      <c r="T89" s="3">
        <v>15866.54207</v>
      </c>
      <c r="U89">
        <v>31.27</v>
      </c>
      <c r="V89" s="2">
        <v>5.4791069664922747E-2</v>
      </c>
      <c r="W89">
        <v>0.63200000000000001</v>
      </c>
      <c r="X89">
        <v>0.51800000000000002</v>
      </c>
      <c r="Y89">
        <v>0.80700000000000005</v>
      </c>
      <c r="Z89">
        <v>0.78400000000000003</v>
      </c>
      <c r="AA89">
        <v>0.66600000000000004</v>
      </c>
      <c r="AB89">
        <v>0.79800000000000004</v>
      </c>
    </row>
    <row r="90" spans="1:28" x14ac:dyDescent="0.25">
      <c r="A90" t="s">
        <v>115</v>
      </c>
      <c r="B90">
        <v>2</v>
      </c>
      <c r="C90">
        <v>5.8330000000000002</v>
      </c>
      <c r="D90">
        <v>0.25</v>
      </c>
      <c r="E90">
        <v>0.59</v>
      </c>
      <c r="F90">
        <v>0.42</v>
      </c>
      <c r="G90">
        <v>-0.47</v>
      </c>
      <c r="H90">
        <v>-0.18</v>
      </c>
      <c r="I90">
        <v>-0.18</v>
      </c>
      <c r="J90">
        <v>-0.49</v>
      </c>
      <c r="K90" s="5">
        <v>-0.33</v>
      </c>
      <c r="L90">
        <v>36</v>
      </c>
      <c r="M90">
        <v>48</v>
      </c>
      <c r="N90">
        <v>84</v>
      </c>
      <c r="O90">
        <v>0.7</v>
      </c>
      <c r="P90">
        <v>0.747</v>
      </c>
      <c r="Q90" s="4">
        <v>71.733999999999995</v>
      </c>
      <c r="R90" s="4">
        <v>13.637654299999999</v>
      </c>
      <c r="S90" s="4">
        <v>9.4200000760000009</v>
      </c>
      <c r="T90" s="3">
        <v>14787.08237</v>
      </c>
      <c r="V90" s="2">
        <v>5.0515718022416936E-3</v>
      </c>
      <c r="W90">
        <v>0.496</v>
      </c>
      <c r="X90">
        <v>0.38900000000000001</v>
      </c>
      <c r="Y90">
        <v>0.73599999999999999</v>
      </c>
      <c r="Z90">
        <v>0.65300000000000002</v>
      </c>
      <c r="AA90">
        <v>0.40200000000000002</v>
      </c>
      <c r="AB90">
        <v>0.746</v>
      </c>
    </row>
    <row r="91" spans="1:28" x14ac:dyDescent="0.25">
      <c r="A91" t="s">
        <v>116</v>
      </c>
      <c r="B91">
        <v>3</v>
      </c>
      <c r="C91">
        <v>5.8769999999999998</v>
      </c>
      <c r="D91">
        <v>0.34</v>
      </c>
      <c r="E91">
        <v>7.0000000000000007E-2</v>
      </c>
      <c r="F91">
        <v>0.20499999999999999</v>
      </c>
      <c r="G91">
        <v>0.25</v>
      </c>
      <c r="H91">
        <v>0.37</v>
      </c>
      <c r="I91">
        <v>-0.04</v>
      </c>
      <c r="J91">
        <v>-0.08</v>
      </c>
      <c r="K91" s="5">
        <v>0.125</v>
      </c>
      <c r="L91">
        <v>27</v>
      </c>
      <c r="M91">
        <v>42</v>
      </c>
      <c r="N91">
        <v>69</v>
      </c>
      <c r="O91">
        <v>0.8</v>
      </c>
      <c r="P91">
        <v>0.86199999999999999</v>
      </c>
      <c r="Q91" s="4">
        <v>77.087000000000003</v>
      </c>
      <c r="R91" s="4">
        <v>15.53652954</v>
      </c>
      <c r="S91" s="4">
        <v>12.773925719999999</v>
      </c>
      <c r="T91" s="3">
        <v>28026.330399999999</v>
      </c>
      <c r="V91" s="2">
        <v>1.410907528346605E-2</v>
      </c>
      <c r="W91">
        <v>0.61499999999999999</v>
      </c>
      <c r="X91">
        <v>0.47799999999999998</v>
      </c>
      <c r="Y91">
        <v>0.755</v>
      </c>
      <c r="Z91">
        <v>0.76</v>
      </c>
      <c r="AA91">
        <v>0.58099999999999996</v>
      </c>
      <c r="AB91">
        <v>0.72399999999999998</v>
      </c>
    </row>
    <row r="92" spans="1:28" x14ac:dyDescent="0.25">
      <c r="A92" t="s">
        <v>117</v>
      </c>
      <c r="B92">
        <v>1</v>
      </c>
      <c r="C92">
        <v>4.6219999999999999</v>
      </c>
      <c r="D92">
        <v>-0.49</v>
      </c>
      <c r="E92">
        <v>-0.37</v>
      </c>
      <c r="F92">
        <v>-0.43</v>
      </c>
      <c r="G92">
        <v>-0.04</v>
      </c>
      <c r="H92">
        <v>-0.06</v>
      </c>
      <c r="I92">
        <v>-0.13</v>
      </c>
      <c r="J92">
        <v>-0.54</v>
      </c>
      <c r="K92" s="5">
        <v>-0.1925</v>
      </c>
      <c r="L92">
        <v>13</v>
      </c>
      <c r="M92">
        <v>24</v>
      </c>
      <c r="N92">
        <v>37</v>
      </c>
      <c r="O92">
        <v>0.79</v>
      </c>
      <c r="P92">
        <v>0.71</v>
      </c>
      <c r="Q92" s="4">
        <v>75.313000000000002</v>
      </c>
      <c r="R92" s="4">
        <v>15.074990270000001</v>
      </c>
      <c r="S92" s="4">
        <v>6.1980000000000004</v>
      </c>
      <c r="T92" s="3">
        <v>8652.8808590000008</v>
      </c>
      <c r="U92">
        <v>18.059999999999999</v>
      </c>
      <c r="V92" s="2">
        <v>3.2997439237634207E-2</v>
      </c>
      <c r="W92">
        <v>0.26300000000000001</v>
      </c>
      <c r="X92">
        <v>0.247</v>
      </c>
      <c r="Y92">
        <v>0.70299999999999996</v>
      </c>
      <c r="Z92">
        <v>0.55300000000000005</v>
      </c>
      <c r="AA92">
        <v>0.43099999999999999</v>
      </c>
      <c r="AB92">
        <v>0.81100000000000005</v>
      </c>
    </row>
    <row r="93" spans="1:28" x14ac:dyDescent="0.25">
      <c r="A93" t="s">
        <v>118</v>
      </c>
      <c r="B93">
        <v>2</v>
      </c>
      <c r="C93">
        <v>5.19</v>
      </c>
      <c r="D93">
        <v>-0.59</v>
      </c>
      <c r="E93">
        <v>-1.27</v>
      </c>
      <c r="F93">
        <v>-0.92999999999999994</v>
      </c>
      <c r="G93">
        <v>-0.72</v>
      </c>
      <c r="H93">
        <v>-0.71</v>
      </c>
      <c r="I93">
        <v>-1.03</v>
      </c>
      <c r="J93">
        <v>-0.83</v>
      </c>
      <c r="K93" s="5">
        <v>-0.82250000000000001</v>
      </c>
      <c r="L93">
        <v>14</v>
      </c>
      <c r="M93">
        <v>30</v>
      </c>
      <c r="N93">
        <v>44</v>
      </c>
      <c r="O93">
        <v>0.85</v>
      </c>
      <c r="P93">
        <v>0.49299999999999999</v>
      </c>
      <c r="Q93" s="4">
        <v>63.610999999999997</v>
      </c>
      <c r="R93" s="4">
        <v>10.84830885</v>
      </c>
      <c r="S93" s="4">
        <v>4.5904898640000003</v>
      </c>
      <c r="T93" s="3">
        <v>1355.7670760000001</v>
      </c>
      <c r="U93">
        <v>9.86</v>
      </c>
      <c r="V93" s="2">
        <v>-9.3322667011946914E-3</v>
      </c>
      <c r="W93">
        <v>0.30399999999999999</v>
      </c>
      <c r="X93">
        <v>0.17100000000000001</v>
      </c>
      <c r="Y93">
        <v>0.40600000000000003</v>
      </c>
      <c r="Z93">
        <v>0.495</v>
      </c>
      <c r="AA93">
        <v>0.51400000000000001</v>
      </c>
      <c r="AB93">
        <v>0.45600000000000002</v>
      </c>
    </row>
    <row r="94" spans="1:28" x14ac:dyDescent="0.25">
      <c r="A94" t="s">
        <v>119</v>
      </c>
      <c r="B94">
        <v>3</v>
      </c>
      <c r="C94">
        <v>4.9109999999999996</v>
      </c>
      <c r="D94">
        <v>0.57999999999999996</v>
      </c>
      <c r="E94">
        <v>0.54</v>
      </c>
      <c r="F94">
        <v>0.56000000000000005</v>
      </c>
      <c r="G94">
        <v>0.03</v>
      </c>
      <c r="H94">
        <v>-0.06</v>
      </c>
      <c r="I94">
        <v>0.45</v>
      </c>
      <c r="J94">
        <v>0.11</v>
      </c>
      <c r="K94" s="5">
        <v>0.13250000000000001</v>
      </c>
      <c r="L94">
        <v>31</v>
      </c>
      <c r="M94">
        <v>46</v>
      </c>
      <c r="N94">
        <v>77</v>
      </c>
      <c r="O94">
        <v>0.67</v>
      </c>
      <c r="P94">
        <v>0.66500000000000004</v>
      </c>
      <c r="Q94" s="4">
        <v>67.385000000000005</v>
      </c>
      <c r="R94" s="4">
        <v>11.78505588</v>
      </c>
      <c r="S94" s="4">
        <v>7.273146745</v>
      </c>
      <c r="T94" s="3">
        <v>10916.60872</v>
      </c>
      <c r="U94">
        <v>27.18</v>
      </c>
      <c r="V94" s="2">
        <v>1.120877734761438E-2</v>
      </c>
      <c r="W94">
        <v>0.623</v>
      </c>
      <c r="X94">
        <v>0.51500000000000001</v>
      </c>
      <c r="Y94">
        <v>0.82099999999999995</v>
      </c>
      <c r="Z94">
        <v>0.436</v>
      </c>
      <c r="AA94">
        <v>0.46700000000000003</v>
      </c>
      <c r="AB94">
        <v>0.69799999999999995</v>
      </c>
    </row>
    <row r="95" spans="1:28" x14ac:dyDescent="0.25">
      <c r="A95" t="s">
        <v>120</v>
      </c>
      <c r="B95">
        <v>3</v>
      </c>
      <c r="C95">
        <v>5.3109999999999999</v>
      </c>
      <c r="D95">
        <v>-0.02</v>
      </c>
      <c r="E95">
        <v>-0.23</v>
      </c>
      <c r="F95">
        <v>-0.125</v>
      </c>
      <c r="G95">
        <v>-0.81</v>
      </c>
      <c r="H95">
        <v>-0.66</v>
      </c>
      <c r="I95">
        <v>-0.46</v>
      </c>
      <c r="J95">
        <v>-0.51</v>
      </c>
      <c r="K95" s="5">
        <v>-0.6100000000000001</v>
      </c>
      <c r="L95">
        <v>28</v>
      </c>
      <c r="M95">
        <v>34</v>
      </c>
      <c r="N95">
        <v>62</v>
      </c>
      <c r="O95">
        <v>0.81</v>
      </c>
      <c r="P95">
        <v>0.622</v>
      </c>
      <c r="Q95" s="4">
        <v>70.353999999999999</v>
      </c>
      <c r="R95" s="4">
        <v>13.754303930000001</v>
      </c>
      <c r="S95" s="4">
        <v>4.5037298200000002</v>
      </c>
      <c r="T95" s="3">
        <v>4725.9306130000004</v>
      </c>
      <c r="U95">
        <v>13.98</v>
      </c>
      <c r="V95" s="2">
        <v>5.0307764055115278E-3</v>
      </c>
      <c r="W95">
        <v>0.66900000000000004</v>
      </c>
      <c r="X95">
        <v>0.52200000000000002</v>
      </c>
      <c r="Y95">
        <v>0.76</v>
      </c>
      <c r="Z95">
        <v>0.58499999999999996</v>
      </c>
      <c r="AA95">
        <v>0.58299999999999996</v>
      </c>
      <c r="AB95">
        <v>0.61099999999999999</v>
      </c>
    </row>
    <row r="96" spans="1:28" x14ac:dyDescent="0.25">
      <c r="A96" t="s">
        <v>121</v>
      </c>
      <c r="B96">
        <v>4</v>
      </c>
      <c r="C96">
        <v>7.306</v>
      </c>
      <c r="D96">
        <v>1.56</v>
      </c>
      <c r="E96">
        <v>0.66</v>
      </c>
      <c r="F96">
        <v>1.1100000000000001</v>
      </c>
      <c r="G96">
        <v>1.63</v>
      </c>
      <c r="H96">
        <v>1.79</v>
      </c>
      <c r="I96">
        <v>1.64</v>
      </c>
      <c r="J96">
        <v>1.87</v>
      </c>
      <c r="K96" s="5">
        <v>1.7324999999999999</v>
      </c>
      <c r="L96">
        <v>39</v>
      </c>
      <c r="M96">
        <v>58</v>
      </c>
      <c r="N96">
        <v>97</v>
      </c>
      <c r="O96">
        <v>0.89</v>
      </c>
      <c r="P96">
        <v>0.95499999999999996</v>
      </c>
      <c r="Q96" s="4">
        <v>82.158000000000001</v>
      </c>
      <c r="R96" s="4">
        <v>18.58485031</v>
      </c>
      <c r="S96" s="4">
        <v>12.66994689</v>
      </c>
      <c r="T96" s="3">
        <v>68344.308260000005</v>
      </c>
      <c r="U96">
        <v>24.22</v>
      </c>
      <c r="V96" s="2">
        <v>3.2414162623630838E-2</v>
      </c>
      <c r="W96">
        <v>0.82199999999999995</v>
      </c>
      <c r="X96">
        <v>0.76100000000000001</v>
      </c>
      <c r="Y96">
        <v>0.94399999999999995</v>
      </c>
      <c r="Z96">
        <v>0.89300000000000002</v>
      </c>
      <c r="AA96">
        <v>0.62</v>
      </c>
      <c r="AB96">
        <v>0.89300000000000002</v>
      </c>
    </row>
    <row r="97" spans="1:28" x14ac:dyDescent="0.25">
      <c r="A97" t="s">
        <v>122</v>
      </c>
      <c r="B97">
        <v>4</v>
      </c>
      <c r="C97">
        <v>6.952</v>
      </c>
      <c r="D97">
        <v>1.69</v>
      </c>
      <c r="E97">
        <v>1.36</v>
      </c>
      <c r="F97">
        <v>1.5249999999999999</v>
      </c>
      <c r="G97">
        <v>1.53</v>
      </c>
      <c r="H97">
        <v>1.91</v>
      </c>
      <c r="I97">
        <v>1.71</v>
      </c>
      <c r="J97">
        <v>2.08</v>
      </c>
      <c r="K97" s="5">
        <v>1.8075000000000001</v>
      </c>
      <c r="L97">
        <v>40</v>
      </c>
      <c r="M97">
        <v>59</v>
      </c>
      <c r="N97">
        <v>99</v>
      </c>
      <c r="O97">
        <v>0.89</v>
      </c>
      <c r="P97">
        <v>0.93799999999999994</v>
      </c>
      <c r="Q97" s="4">
        <v>82.087999999999994</v>
      </c>
      <c r="R97" s="4">
        <v>19.30005074</v>
      </c>
      <c r="S97" s="4">
        <v>12.882998069999999</v>
      </c>
      <c r="T97" s="3">
        <v>47259.601369999997</v>
      </c>
      <c r="U97">
        <v>14.79</v>
      </c>
      <c r="V97" s="2">
        <v>3.440373715397782E-2</v>
      </c>
      <c r="W97">
        <v>0.86299999999999999</v>
      </c>
      <c r="X97">
        <v>0.80900000000000005</v>
      </c>
      <c r="Y97">
        <v>0.95199999999999996</v>
      </c>
      <c r="Z97">
        <v>0.84699999999999998</v>
      </c>
      <c r="AA97">
        <v>0.65400000000000003</v>
      </c>
      <c r="AB97">
        <v>0.80400000000000005</v>
      </c>
    </row>
    <row r="98" spans="1:28" x14ac:dyDescent="0.25">
      <c r="A98" t="s">
        <v>123</v>
      </c>
      <c r="B98">
        <v>2</v>
      </c>
      <c r="C98">
        <v>6.33</v>
      </c>
      <c r="D98">
        <v>-1.39</v>
      </c>
      <c r="E98">
        <v>-0.13</v>
      </c>
      <c r="F98">
        <v>-0.76</v>
      </c>
      <c r="G98">
        <v>-1.08</v>
      </c>
      <c r="H98">
        <v>-0.88</v>
      </c>
      <c r="I98">
        <v>-1.28</v>
      </c>
      <c r="J98">
        <v>-1.39</v>
      </c>
      <c r="K98" s="5">
        <v>-1.1575</v>
      </c>
      <c r="L98">
        <v>4</v>
      </c>
      <c r="M98">
        <v>12</v>
      </c>
      <c r="N98">
        <v>16</v>
      </c>
      <c r="O98">
        <v>0.88</v>
      </c>
      <c r="P98">
        <v>0.70599999999999996</v>
      </c>
      <c r="Q98" s="4">
        <v>74.947000000000003</v>
      </c>
      <c r="R98" s="4">
        <v>11.51021957</v>
      </c>
      <c r="S98" s="4">
        <v>9.9330196379999993</v>
      </c>
      <c r="T98" s="3">
        <v>6881.479609</v>
      </c>
      <c r="U98">
        <v>31.52</v>
      </c>
      <c r="V98" s="2">
        <v>3.2683589542081608E-2</v>
      </c>
      <c r="W98">
        <v>0.153</v>
      </c>
      <c r="X98">
        <v>1.9E-2</v>
      </c>
      <c r="Y98">
        <v>2.1999999999999999E-2</v>
      </c>
      <c r="Z98">
        <v>0.27100000000000002</v>
      </c>
      <c r="AA98">
        <v>0.29499999999999998</v>
      </c>
      <c r="AB98">
        <v>1.7000000000000001E-2</v>
      </c>
    </row>
    <row r="99" spans="1:28" x14ac:dyDescent="0.25">
      <c r="A99" t="s">
        <v>124</v>
      </c>
      <c r="B99">
        <v>1</v>
      </c>
      <c r="C99">
        <v>4.7249999999999996</v>
      </c>
      <c r="D99">
        <v>-0.7</v>
      </c>
      <c r="E99">
        <v>-1.67</v>
      </c>
      <c r="F99">
        <v>-1.1850000000000001</v>
      </c>
      <c r="G99">
        <v>-0.64</v>
      </c>
      <c r="H99">
        <v>-0.82</v>
      </c>
      <c r="I99">
        <v>-0.71</v>
      </c>
      <c r="J99">
        <v>-0.56000000000000005</v>
      </c>
      <c r="K99" s="5">
        <v>-0.6825</v>
      </c>
      <c r="L99">
        <v>6</v>
      </c>
      <c r="M99">
        <v>27</v>
      </c>
      <c r="N99">
        <v>33</v>
      </c>
      <c r="O99">
        <v>0.79</v>
      </c>
      <c r="P99">
        <v>0.41899999999999998</v>
      </c>
      <c r="Q99" s="4">
        <v>61.183</v>
      </c>
      <c r="R99" s="4">
        <v>8.308919801</v>
      </c>
      <c r="S99" s="4">
        <v>1.4122893409999999</v>
      </c>
      <c r="T99" s="3">
        <v>1590.18796</v>
      </c>
      <c r="U99">
        <v>37.99</v>
      </c>
      <c r="V99" s="2">
        <v>2.9496995280963278E-2</v>
      </c>
      <c r="W99">
        <v>0.24</v>
      </c>
      <c r="X99">
        <v>0.18</v>
      </c>
      <c r="Y99">
        <v>0.50900000000000001</v>
      </c>
      <c r="Z99">
        <v>0.64600000000000002</v>
      </c>
      <c r="AA99">
        <v>0.57499999999999996</v>
      </c>
      <c r="AB99">
        <v>0.73699999999999999</v>
      </c>
    </row>
    <row r="100" spans="1:28" x14ac:dyDescent="0.25">
      <c r="A100" t="s">
        <v>125</v>
      </c>
      <c r="B100">
        <v>3</v>
      </c>
      <c r="C100">
        <v>4.8849999999999998</v>
      </c>
      <c r="D100">
        <v>-0.55000000000000004</v>
      </c>
      <c r="E100">
        <v>-1.77</v>
      </c>
      <c r="F100">
        <v>-1.1599999999999999</v>
      </c>
      <c r="G100">
        <v>-0.85</v>
      </c>
      <c r="H100">
        <v>-0.94</v>
      </c>
      <c r="I100">
        <v>-0.89</v>
      </c>
      <c r="J100">
        <v>-1.04</v>
      </c>
      <c r="K100" s="5">
        <v>-0.93</v>
      </c>
      <c r="L100">
        <v>20</v>
      </c>
      <c r="M100">
        <v>24</v>
      </c>
      <c r="N100">
        <v>44</v>
      </c>
      <c r="O100">
        <v>0.72</v>
      </c>
      <c r="P100">
        <v>0.56000000000000005</v>
      </c>
      <c r="Q100" s="4">
        <v>54.462000000000003</v>
      </c>
      <c r="R100" s="4">
        <v>10.51407</v>
      </c>
      <c r="S100" s="4">
        <v>7.5859699249999997</v>
      </c>
      <c r="T100" s="3">
        <v>5569.3749749999997</v>
      </c>
      <c r="U100">
        <v>23.17</v>
      </c>
      <c r="V100" s="2">
        <v>2.5808093950958181E-2</v>
      </c>
      <c r="W100">
        <v>0.502</v>
      </c>
      <c r="X100">
        <v>0.315</v>
      </c>
      <c r="Y100">
        <v>0.55300000000000005</v>
      </c>
      <c r="Z100">
        <v>0.50700000000000001</v>
      </c>
      <c r="AA100">
        <v>0.61299999999999999</v>
      </c>
      <c r="AB100">
        <v>0.65900000000000003</v>
      </c>
    </row>
    <row r="101" spans="1:28" x14ac:dyDescent="0.25">
      <c r="A101" t="s">
        <v>126</v>
      </c>
      <c r="B101">
        <v>3</v>
      </c>
      <c r="C101">
        <v>5.5030000000000001</v>
      </c>
      <c r="D101">
        <v>0.16</v>
      </c>
      <c r="E101">
        <v>0.17</v>
      </c>
      <c r="F101">
        <v>0.16500000000000001</v>
      </c>
      <c r="G101">
        <v>-0.05</v>
      </c>
      <c r="H101">
        <v>0.43</v>
      </c>
      <c r="I101">
        <v>-0.17</v>
      </c>
      <c r="J101">
        <v>-0.35</v>
      </c>
      <c r="K101" s="5">
        <v>-3.5000000000000003E-2</v>
      </c>
      <c r="L101">
        <v>28</v>
      </c>
      <c r="M101">
        <v>39</v>
      </c>
      <c r="N101">
        <v>67</v>
      </c>
      <c r="O101">
        <v>0.77</v>
      </c>
      <c r="P101">
        <v>0.81499999999999995</v>
      </c>
      <c r="Q101" s="4">
        <v>77.394999999999996</v>
      </c>
      <c r="R101" s="4">
        <v>14.781439779999999</v>
      </c>
      <c r="S101" s="4">
        <v>10.22999954</v>
      </c>
      <c r="T101" s="3">
        <v>22128.394609999999</v>
      </c>
      <c r="U101">
        <v>14.04</v>
      </c>
      <c r="V101" s="2">
        <v>0.15458046799745839</v>
      </c>
      <c r="W101">
        <v>0.56299999999999994</v>
      </c>
      <c r="X101">
        <v>0.374</v>
      </c>
      <c r="Y101">
        <v>0.61</v>
      </c>
      <c r="Z101">
        <v>0.59599999999999997</v>
      </c>
      <c r="AA101">
        <v>0.58799999999999997</v>
      </c>
      <c r="AB101">
        <v>0.58699999999999997</v>
      </c>
    </row>
    <row r="102" spans="1:28" x14ac:dyDescent="0.25">
      <c r="A102" t="s">
        <v>127</v>
      </c>
      <c r="B102">
        <v>4</v>
      </c>
      <c r="C102">
        <v>7.2619999999999996</v>
      </c>
      <c r="D102">
        <v>1.78</v>
      </c>
      <c r="E102">
        <v>0.89</v>
      </c>
      <c r="F102">
        <v>1.335</v>
      </c>
      <c r="G102">
        <v>1.8</v>
      </c>
      <c r="H102">
        <v>1.6</v>
      </c>
      <c r="I102">
        <v>1.83</v>
      </c>
      <c r="J102">
        <v>2.11</v>
      </c>
      <c r="K102" s="5">
        <v>1.835</v>
      </c>
      <c r="L102">
        <v>39</v>
      </c>
      <c r="M102">
        <v>59</v>
      </c>
      <c r="N102">
        <v>98</v>
      </c>
      <c r="O102">
        <v>0.95</v>
      </c>
      <c r="P102">
        <v>0.97</v>
      </c>
      <c r="Q102" s="4">
        <v>83.308000000000007</v>
      </c>
      <c r="R102" s="4">
        <v>18.792850489999999</v>
      </c>
      <c r="S102" s="4">
        <v>13.117962179999999</v>
      </c>
      <c r="T102" s="3">
        <v>112710.0211</v>
      </c>
      <c r="U102">
        <v>16.11</v>
      </c>
      <c r="V102" s="2">
        <v>5.3125778176206118E-2</v>
      </c>
      <c r="W102">
        <v>0.88400000000000001</v>
      </c>
      <c r="X102">
        <v>0.83899999999999997</v>
      </c>
      <c r="Y102">
        <v>0.96199999999999997</v>
      </c>
      <c r="Z102">
        <v>0.95899999999999996</v>
      </c>
      <c r="AA102">
        <v>0.65600000000000003</v>
      </c>
      <c r="AB102">
        <v>0.98599999999999999</v>
      </c>
    </row>
    <row r="103" spans="1:28" x14ac:dyDescent="0.25">
      <c r="A103" t="s">
        <v>128</v>
      </c>
      <c r="B103">
        <v>2</v>
      </c>
      <c r="C103">
        <v>4.7679999999999998</v>
      </c>
      <c r="D103">
        <v>-0.96</v>
      </c>
      <c r="E103">
        <v>-1.93</v>
      </c>
      <c r="F103">
        <v>-1.4450000000000001</v>
      </c>
      <c r="G103">
        <v>-0.57999999999999996</v>
      </c>
      <c r="H103">
        <v>-0.9</v>
      </c>
      <c r="I103">
        <v>-0.86</v>
      </c>
      <c r="J103">
        <v>-1</v>
      </c>
      <c r="K103" s="5">
        <v>-0.83499999999999996</v>
      </c>
      <c r="L103">
        <v>14</v>
      </c>
      <c r="M103">
        <v>21</v>
      </c>
      <c r="N103">
        <v>35</v>
      </c>
      <c r="O103">
        <v>0.77</v>
      </c>
      <c r="P103">
        <v>0.54400000000000004</v>
      </c>
      <c r="Q103" s="4">
        <v>67.649000000000001</v>
      </c>
      <c r="R103" s="4">
        <v>7.8951084900000001</v>
      </c>
      <c r="S103" s="4">
        <v>4.3169870379999997</v>
      </c>
      <c r="T103" s="3">
        <v>5501.1329320000004</v>
      </c>
      <c r="U103">
        <v>30.66</v>
      </c>
      <c r="V103" s="2">
        <v>5.7990330741558571E-2</v>
      </c>
      <c r="W103">
        <v>0.313</v>
      </c>
      <c r="X103">
        <v>0.19900000000000001</v>
      </c>
      <c r="Y103">
        <v>0.48</v>
      </c>
      <c r="Z103">
        <v>0.223</v>
      </c>
      <c r="AA103">
        <v>0.499</v>
      </c>
      <c r="AB103">
        <v>0.52900000000000003</v>
      </c>
    </row>
    <row r="104" spans="1:28" x14ac:dyDescent="0.25">
      <c r="A104" t="s">
        <v>129</v>
      </c>
      <c r="B104">
        <v>3</v>
      </c>
      <c r="C104">
        <v>6.407</v>
      </c>
      <c r="D104">
        <v>0.55000000000000004</v>
      </c>
      <c r="E104">
        <v>0.21</v>
      </c>
      <c r="F104">
        <v>0.38</v>
      </c>
      <c r="G104">
        <v>-0.21</v>
      </c>
      <c r="H104">
        <v>0.12</v>
      </c>
      <c r="I104">
        <v>-0.35</v>
      </c>
      <c r="J104">
        <v>-0.63</v>
      </c>
      <c r="K104" s="5">
        <v>-0.26750000000000002</v>
      </c>
      <c r="L104">
        <v>35</v>
      </c>
      <c r="M104">
        <v>48</v>
      </c>
      <c r="N104">
        <v>83</v>
      </c>
      <c r="O104">
        <v>0.86</v>
      </c>
      <c r="P104">
        <v>0.83899999999999997</v>
      </c>
      <c r="Q104" s="4">
        <v>79.593999999999994</v>
      </c>
      <c r="R104" s="4">
        <v>13.311609799999999</v>
      </c>
      <c r="S104" s="4">
        <v>10.833750950000001</v>
      </c>
      <c r="T104" s="3">
        <v>34384.56813</v>
      </c>
      <c r="U104">
        <v>20.18</v>
      </c>
      <c r="V104" s="2"/>
      <c r="W104">
        <v>0.72599999999999998</v>
      </c>
      <c r="X104">
        <v>0.58399999999999996</v>
      </c>
      <c r="Y104">
        <v>0.79400000000000004</v>
      </c>
      <c r="Z104">
        <v>0.57599999999999996</v>
      </c>
      <c r="AA104">
        <v>0.52400000000000002</v>
      </c>
      <c r="AB104">
        <v>0.73699999999999999</v>
      </c>
    </row>
    <row r="105" spans="1:28" x14ac:dyDescent="0.25">
      <c r="A105" t="s">
        <v>130</v>
      </c>
      <c r="B105">
        <v>3</v>
      </c>
      <c r="C105">
        <v>6.1719999999999997</v>
      </c>
      <c r="D105">
        <v>0.04</v>
      </c>
      <c r="E105">
        <v>0.08</v>
      </c>
      <c r="F105">
        <v>0.06</v>
      </c>
      <c r="G105">
        <v>-0.46</v>
      </c>
      <c r="H105">
        <v>-0.08</v>
      </c>
      <c r="I105">
        <v>-0.57999999999999996</v>
      </c>
      <c r="J105">
        <v>-1.06</v>
      </c>
      <c r="K105" s="5">
        <v>-0.54500000000000004</v>
      </c>
      <c r="L105">
        <v>26</v>
      </c>
      <c r="M105">
        <v>37</v>
      </c>
      <c r="N105">
        <v>63</v>
      </c>
      <c r="O105">
        <v>0.89</v>
      </c>
      <c r="P105">
        <v>0.75600000000000001</v>
      </c>
      <c r="Q105" s="4">
        <v>73.843999999999994</v>
      </c>
      <c r="R105" s="4">
        <v>13.98706964</v>
      </c>
      <c r="S105" s="4">
        <v>8.9306533849999994</v>
      </c>
      <c r="T105" s="3">
        <v>15252.220160000001</v>
      </c>
      <c r="U105">
        <v>34.14</v>
      </c>
      <c r="V105" s="2">
        <v>2.4142134899340809E-2</v>
      </c>
      <c r="W105">
        <v>0.57899999999999996</v>
      </c>
      <c r="X105">
        <v>0.38800000000000001</v>
      </c>
      <c r="Y105">
        <v>0.61799999999999999</v>
      </c>
      <c r="Z105">
        <v>0.312</v>
      </c>
      <c r="AA105">
        <v>0.51600000000000001</v>
      </c>
      <c r="AB105">
        <v>0.45800000000000002</v>
      </c>
    </row>
    <row r="106" spans="1:28" x14ac:dyDescent="0.25">
      <c r="A106" t="s">
        <v>131</v>
      </c>
      <c r="B106">
        <v>3</v>
      </c>
      <c r="C106">
        <v>5.9470000000000001</v>
      </c>
      <c r="D106">
        <v>0.06</v>
      </c>
      <c r="E106">
        <v>-0.52</v>
      </c>
      <c r="F106">
        <v>-0.23</v>
      </c>
      <c r="G106">
        <v>-0.49</v>
      </c>
      <c r="H106">
        <v>0.28999999999999998</v>
      </c>
      <c r="I106">
        <v>-0.54</v>
      </c>
      <c r="J106">
        <v>-0.72</v>
      </c>
      <c r="K106" s="5">
        <v>-0.36499999999999999</v>
      </c>
      <c r="L106">
        <v>27</v>
      </c>
      <c r="M106">
        <v>39</v>
      </c>
      <c r="N106">
        <v>66</v>
      </c>
      <c r="O106">
        <v>0.79</v>
      </c>
      <c r="P106">
        <v>0.79400000000000004</v>
      </c>
      <c r="Q106" s="4">
        <v>77.739999999999995</v>
      </c>
      <c r="R106" s="4">
        <v>14.90939376</v>
      </c>
      <c r="S106" s="4">
        <v>10.15465159</v>
      </c>
      <c r="T106" s="3">
        <v>14338.709769999999</v>
      </c>
      <c r="U106">
        <v>27.64</v>
      </c>
      <c r="V106" s="2">
        <v>-7.001303365679834E-3</v>
      </c>
      <c r="W106">
        <v>0.63400000000000001</v>
      </c>
      <c r="X106">
        <v>0.49299999999999999</v>
      </c>
      <c r="Y106">
        <v>0.76100000000000001</v>
      </c>
      <c r="Z106">
        <v>0.50900000000000001</v>
      </c>
      <c r="AA106">
        <v>0.60399999999999998</v>
      </c>
      <c r="AB106">
        <v>0.40500000000000003</v>
      </c>
    </row>
    <row r="107" spans="1:28" x14ac:dyDescent="0.25">
      <c r="A107" t="s">
        <v>132</v>
      </c>
      <c r="B107">
        <v>2</v>
      </c>
      <c r="C107">
        <v>6.1070000000000002</v>
      </c>
      <c r="D107">
        <v>-0.02</v>
      </c>
      <c r="E107">
        <v>-0.56999999999999995</v>
      </c>
      <c r="F107">
        <v>-0.29499999999999998</v>
      </c>
      <c r="G107">
        <v>0.15</v>
      </c>
      <c r="H107">
        <v>0.16</v>
      </c>
      <c r="I107">
        <v>-0.42</v>
      </c>
      <c r="J107">
        <v>-0.54</v>
      </c>
      <c r="K107" s="5">
        <v>-0.16250000000000001</v>
      </c>
      <c r="L107">
        <v>25</v>
      </c>
      <c r="M107">
        <v>33</v>
      </c>
      <c r="N107">
        <v>58</v>
      </c>
      <c r="O107">
        <v>0.92</v>
      </c>
      <c r="P107">
        <v>0.72</v>
      </c>
      <c r="Q107" s="4">
        <v>69.832999999999998</v>
      </c>
      <c r="R107" s="4">
        <v>12.81904666</v>
      </c>
      <c r="S107" s="4">
        <v>9.9772396089999997</v>
      </c>
      <c r="T107" s="3">
        <v>10731.20422</v>
      </c>
      <c r="U107">
        <v>34.36</v>
      </c>
      <c r="V107" s="2">
        <v>4.4897058623281312E-2</v>
      </c>
      <c r="W107">
        <v>0.435</v>
      </c>
      <c r="X107">
        <v>0.308</v>
      </c>
      <c r="Y107">
        <v>0.63300000000000001</v>
      </c>
      <c r="Z107">
        <v>0.314</v>
      </c>
      <c r="AA107">
        <v>0.57099999999999995</v>
      </c>
      <c r="AB107">
        <v>0.52600000000000002</v>
      </c>
    </row>
    <row r="108" spans="1:28" x14ac:dyDescent="0.25">
      <c r="A108" t="s">
        <v>133</v>
      </c>
      <c r="B108">
        <v>3</v>
      </c>
      <c r="C108">
        <v>6.673</v>
      </c>
      <c r="D108">
        <v>0.63</v>
      </c>
      <c r="E108">
        <v>0.56000000000000005</v>
      </c>
      <c r="F108">
        <v>0.59499999999999997</v>
      </c>
      <c r="G108">
        <v>0.42</v>
      </c>
      <c r="H108">
        <v>0.78</v>
      </c>
      <c r="I108">
        <v>0.46</v>
      </c>
      <c r="J108">
        <v>0.56999999999999995</v>
      </c>
      <c r="K108" s="5">
        <v>0.5575</v>
      </c>
      <c r="L108">
        <v>33</v>
      </c>
      <c r="M108">
        <v>47</v>
      </c>
      <c r="N108">
        <v>80</v>
      </c>
      <c r="O108">
        <v>0.77</v>
      </c>
      <c r="P108">
        <v>0.90600000000000003</v>
      </c>
      <c r="Q108" s="4">
        <v>78.632999999999996</v>
      </c>
      <c r="R108" s="4">
        <v>16.678279880000002</v>
      </c>
      <c r="S108" s="4">
        <v>13.208542420000001</v>
      </c>
      <c r="T108" s="3">
        <v>42217.637779999997</v>
      </c>
      <c r="U108">
        <v>23.1</v>
      </c>
      <c r="V108" s="2">
        <v>5.125631342633874E-2</v>
      </c>
      <c r="W108">
        <v>0.72899999999999998</v>
      </c>
      <c r="X108">
        <v>0.61599999999999999</v>
      </c>
      <c r="Y108">
        <v>0.84399999999999997</v>
      </c>
      <c r="Z108">
        <v>0.879</v>
      </c>
      <c r="AA108">
        <v>0.61399999999999999</v>
      </c>
      <c r="AB108">
        <v>0.84199999999999997</v>
      </c>
    </row>
    <row r="109" spans="1:28" x14ac:dyDescent="0.25">
      <c r="A109" t="s">
        <v>134</v>
      </c>
      <c r="B109">
        <v>3</v>
      </c>
      <c r="C109">
        <v>6.0129999999999999</v>
      </c>
      <c r="D109">
        <v>1.21</v>
      </c>
      <c r="E109">
        <v>0.71</v>
      </c>
      <c r="F109">
        <v>0.96</v>
      </c>
      <c r="G109">
        <v>0.99</v>
      </c>
      <c r="H109">
        <v>0.76</v>
      </c>
      <c r="I109">
        <v>1.07</v>
      </c>
      <c r="J109">
        <v>0.7</v>
      </c>
      <c r="K109" s="5">
        <v>0.88000000000000012</v>
      </c>
      <c r="L109">
        <v>39</v>
      </c>
      <c r="M109">
        <v>57</v>
      </c>
      <c r="N109">
        <v>96</v>
      </c>
      <c r="O109">
        <v>0.9</v>
      </c>
      <c r="P109">
        <v>0.89</v>
      </c>
      <c r="Q109" s="4">
        <v>82.36</v>
      </c>
      <c r="R109" s="4">
        <v>17.486820219999998</v>
      </c>
      <c r="S109" s="4">
        <v>9.7032544119999997</v>
      </c>
      <c r="T109" s="3">
        <v>41063.92568</v>
      </c>
      <c r="U109">
        <v>16.93</v>
      </c>
      <c r="V109" s="2">
        <v>2.375772146849342E-2</v>
      </c>
      <c r="W109">
        <v>0.83099999999999996</v>
      </c>
      <c r="X109">
        <v>0.751</v>
      </c>
      <c r="Y109">
        <v>0.91</v>
      </c>
      <c r="Z109">
        <v>0.79900000000000004</v>
      </c>
      <c r="AA109">
        <v>0.60899999999999999</v>
      </c>
      <c r="AB109">
        <v>0.89100000000000001</v>
      </c>
    </row>
    <row r="110" spans="1:28" x14ac:dyDescent="0.25">
      <c r="A110" t="s">
        <v>135</v>
      </c>
      <c r="B110">
        <v>1</v>
      </c>
      <c r="C110">
        <v>6.14</v>
      </c>
      <c r="D110">
        <v>-0.97</v>
      </c>
      <c r="E110">
        <v>0.99</v>
      </c>
      <c r="F110">
        <v>1.0000000000000011E-2</v>
      </c>
      <c r="G110">
        <v>1.2</v>
      </c>
      <c r="H110">
        <v>0.98</v>
      </c>
      <c r="I110">
        <v>0.93</v>
      </c>
      <c r="J110">
        <v>0.7</v>
      </c>
      <c r="K110" s="5">
        <v>0.9524999999999999</v>
      </c>
      <c r="L110">
        <v>7</v>
      </c>
      <c r="M110">
        <v>18</v>
      </c>
      <c r="N110">
        <v>25</v>
      </c>
      <c r="P110">
        <v>0.88600000000000001</v>
      </c>
      <c r="Q110" s="4">
        <v>82.367999999999995</v>
      </c>
      <c r="R110" s="4">
        <v>13.14116001</v>
      </c>
      <c r="S110" s="4">
        <v>10.77000046</v>
      </c>
      <c r="T110" s="3">
        <v>105353.268</v>
      </c>
      <c r="U110">
        <v>24.96</v>
      </c>
      <c r="V110" s="2">
        <v>1.5928935550478251E-2</v>
      </c>
      <c r="W110">
        <v>8.6999999999999994E-2</v>
      </c>
      <c r="X110">
        <v>0.08</v>
      </c>
      <c r="Y110">
        <v>0.28399999999999997</v>
      </c>
      <c r="Z110">
        <v>0.39500000000000002</v>
      </c>
      <c r="AA110">
        <v>0.105</v>
      </c>
      <c r="AB110">
        <v>0.38700000000000001</v>
      </c>
    </row>
    <row r="111" spans="1:28" x14ac:dyDescent="0.25">
      <c r="A111" t="s">
        <v>136</v>
      </c>
      <c r="B111">
        <v>3</v>
      </c>
      <c r="C111">
        <v>6.5629999999999997</v>
      </c>
      <c r="D111">
        <v>0.5</v>
      </c>
      <c r="E111">
        <v>0.37</v>
      </c>
      <c r="F111">
        <v>0.435</v>
      </c>
      <c r="G111">
        <v>-0.09</v>
      </c>
      <c r="H111">
        <v>0.32</v>
      </c>
      <c r="I111">
        <v>0.44</v>
      </c>
      <c r="J111">
        <v>0.04</v>
      </c>
      <c r="K111" s="5">
        <v>0.17749999999999999</v>
      </c>
      <c r="L111">
        <v>35</v>
      </c>
      <c r="M111">
        <v>48</v>
      </c>
      <c r="N111">
        <v>83</v>
      </c>
      <c r="O111">
        <v>0.86</v>
      </c>
      <c r="P111">
        <v>0.84499999999999997</v>
      </c>
      <c r="Q111" s="4">
        <v>75.938000000000002</v>
      </c>
      <c r="R111" s="4">
        <v>14.052880289999999</v>
      </c>
      <c r="S111" s="4">
        <v>11.55000019</v>
      </c>
      <c r="T111" s="3">
        <v>39374.253720000001</v>
      </c>
      <c r="U111">
        <v>28.86</v>
      </c>
      <c r="V111" s="2">
        <v>1.2800245291238131E-2</v>
      </c>
      <c r="W111">
        <v>0.629</v>
      </c>
      <c r="X111">
        <v>0.44500000000000001</v>
      </c>
      <c r="Y111">
        <v>0.67</v>
      </c>
      <c r="Z111">
        <v>0.67900000000000005</v>
      </c>
      <c r="AA111">
        <v>0.621</v>
      </c>
      <c r="AB111">
        <v>0.32</v>
      </c>
    </row>
    <row r="112" spans="1:28" x14ac:dyDescent="0.25">
      <c r="A112" t="s">
        <v>137</v>
      </c>
      <c r="B112">
        <v>2</v>
      </c>
      <c r="C112">
        <v>5.9450000000000003</v>
      </c>
      <c r="D112">
        <v>-1.29</v>
      </c>
      <c r="E112">
        <v>-1.1299999999999999</v>
      </c>
      <c r="F112">
        <v>-1.21</v>
      </c>
      <c r="G112">
        <v>-0.71</v>
      </c>
      <c r="H112">
        <v>-1.1200000000000001</v>
      </c>
      <c r="I112">
        <v>-1.19</v>
      </c>
      <c r="J112">
        <v>-1.1000000000000001</v>
      </c>
      <c r="K112" s="5">
        <v>-1.03</v>
      </c>
      <c r="L112">
        <v>4</v>
      </c>
      <c r="M112">
        <v>9</v>
      </c>
      <c r="N112">
        <v>13</v>
      </c>
      <c r="O112">
        <v>0.71899999999999997</v>
      </c>
      <c r="P112">
        <v>0.83199999999999996</v>
      </c>
      <c r="Q112" s="4">
        <v>73.153999999999996</v>
      </c>
      <c r="R112" s="4">
        <v>13.18515015</v>
      </c>
      <c r="S112" s="4">
        <v>12.40999985</v>
      </c>
      <c r="T112" s="3">
        <v>39221.683590000001</v>
      </c>
      <c r="U112">
        <v>36.46</v>
      </c>
      <c r="V112" s="2">
        <v>3.9904338369498138E-2</v>
      </c>
      <c r="W112">
        <v>0.17199999999999999</v>
      </c>
      <c r="X112">
        <v>5.6000000000000001E-2</v>
      </c>
      <c r="Y112">
        <v>0.14299999999999999</v>
      </c>
      <c r="Z112">
        <v>0.371</v>
      </c>
      <c r="AA112">
        <v>0.376</v>
      </c>
      <c r="AB112">
        <v>0.109</v>
      </c>
    </row>
    <row r="113" spans="1:28" x14ac:dyDescent="0.25">
      <c r="A113" t="s">
        <v>138</v>
      </c>
      <c r="B113">
        <v>2</v>
      </c>
      <c r="C113">
        <v>3.2679999999999998</v>
      </c>
      <c r="D113">
        <v>-0.9</v>
      </c>
      <c r="E113">
        <v>0.11</v>
      </c>
      <c r="F113">
        <v>-0.39500000000000002</v>
      </c>
      <c r="G113">
        <v>0.39</v>
      </c>
      <c r="H113">
        <v>0.12</v>
      </c>
      <c r="I113">
        <v>0.21</v>
      </c>
      <c r="J113">
        <v>0.67</v>
      </c>
      <c r="K113" s="5">
        <v>0.34749999999999998</v>
      </c>
      <c r="L113">
        <v>8</v>
      </c>
      <c r="M113">
        <v>15</v>
      </c>
      <c r="N113">
        <v>23</v>
      </c>
      <c r="P113">
        <v>0.57799999999999996</v>
      </c>
      <c r="Q113" s="4">
        <v>67.784999999999997</v>
      </c>
      <c r="R113" s="4">
        <v>12.59045029</v>
      </c>
      <c r="S113" s="4">
        <v>4.8800001139999996</v>
      </c>
      <c r="T113" s="3">
        <v>2970.5594609999998</v>
      </c>
      <c r="U113">
        <v>27.39</v>
      </c>
      <c r="V113" s="2">
        <v>4.3427291201925788E-2</v>
      </c>
      <c r="W113">
        <v>0.20200000000000001</v>
      </c>
      <c r="X113">
        <v>0.09</v>
      </c>
      <c r="Y113">
        <v>0.24</v>
      </c>
      <c r="Z113">
        <v>0.52100000000000002</v>
      </c>
      <c r="AA113">
        <v>0.39</v>
      </c>
      <c r="AB113">
        <v>0.58799999999999997</v>
      </c>
    </row>
    <row r="114" spans="1:28" x14ac:dyDescent="0.25">
      <c r="A114" t="s">
        <v>139</v>
      </c>
      <c r="B114">
        <v>1</v>
      </c>
      <c r="C114">
        <v>6.6</v>
      </c>
      <c r="D114">
        <v>-1.42</v>
      </c>
      <c r="E114">
        <v>-0.21</v>
      </c>
      <c r="F114">
        <v>-0.81499999999999995</v>
      </c>
      <c r="G114">
        <v>0.8</v>
      </c>
      <c r="H114">
        <v>0.52</v>
      </c>
      <c r="I114">
        <v>0.41</v>
      </c>
      <c r="J114">
        <v>0.54</v>
      </c>
      <c r="K114" s="5">
        <v>0.5675</v>
      </c>
      <c r="L114">
        <v>1</v>
      </c>
      <c r="M114">
        <v>7</v>
      </c>
      <c r="N114">
        <v>8</v>
      </c>
      <c r="O114">
        <v>0.89</v>
      </c>
      <c r="P114">
        <v>0.9</v>
      </c>
      <c r="Q114" s="4">
        <v>78.731999999999999</v>
      </c>
      <c r="R114" s="4">
        <v>16.949430469999999</v>
      </c>
      <c r="S114" s="4">
        <v>11.606427780000001</v>
      </c>
      <c r="T114" s="3">
        <v>50298.913630000003</v>
      </c>
      <c r="U114">
        <v>26.73</v>
      </c>
      <c r="V114" s="2">
        <v>3.3271509902469631E-2</v>
      </c>
      <c r="W114">
        <v>1.4999999999999999E-2</v>
      </c>
      <c r="X114">
        <v>4.7E-2</v>
      </c>
      <c r="Y114">
        <v>0.187</v>
      </c>
      <c r="Z114">
        <v>0.44900000000000001</v>
      </c>
      <c r="AA114">
        <v>8.1000000000000003E-2</v>
      </c>
      <c r="AB114">
        <v>0.25800000000000001</v>
      </c>
    </row>
    <row r="115" spans="1:28" x14ac:dyDescent="0.25">
      <c r="A115" t="s">
        <v>140</v>
      </c>
      <c r="B115">
        <v>3</v>
      </c>
      <c r="C115">
        <v>4.8559999999999999</v>
      </c>
      <c r="D115">
        <v>0.13</v>
      </c>
      <c r="E115">
        <v>-0.14000000000000001</v>
      </c>
      <c r="F115">
        <v>-5.0000000000000036E-3</v>
      </c>
      <c r="G115">
        <v>7.0000000000000007E-2</v>
      </c>
      <c r="H115">
        <v>-0.35</v>
      </c>
      <c r="I115">
        <v>-0.27</v>
      </c>
      <c r="J115">
        <v>0.06</v>
      </c>
      <c r="K115" s="5">
        <v>-0.1225</v>
      </c>
      <c r="L115">
        <v>28</v>
      </c>
      <c r="M115">
        <v>39</v>
      </c>
      <c r="N115">
        <v>67</v>
      </c>
      <c r="O115">
        <v>0.77</v>
      </c>
      <c r="P115">
        <v>0.53</v>
      </c>
      <c r="Q115" s="4">
        <v>68.683000000000007</v>
      </c>
      <c r="R115" s="4">
        <v>9.1427097320000001</v>
      </c>
      <c r="S115" s="4">
        <v>2.934554012</v>
      </c>
      <c r="T115" s="3">
        <v>4202.0307290000001</v>
      </c>
      <c r="U115">
        <v>40.96</v>
      </c>
      <c r="V115" s="2">
        <v>3.8180535269018101E-2</v>
      </c>
      <c r="W115">
        <v>0.61699999999999999</v>
      </c>
      <c r="X115">
        <v>0.46200000000000002</v>
      </c>
      <c r="Y115">
        <v>0.72</v>
      </c>
      <c r="Z115">
        <v>0.70199999999999996</v>
      </c>
      <c r="AA115">
        <v>0.58599999999999997</v>
      </c>
      <c r="AB115">
        <v>0.88900000000000001</v>
      </c>
    </row>
    <row r="116" spans="1:28" x14ac:dyDescent="0.25">
      <c r="A116" t="s">
        <v>141</v>
      </c>
      <c r="B116">
        <v>2</v>
      </c>
      <c r="C116">
        <v>6.6059999999999999</v>
      </c>
      <c r="D116">
        <v>-0.06</v>
      </c>
      <c r="E116">
        <v>-0.04</v>
      </c>
      <c r="F116">
        <v>-0.05</v>
      </c>
      <c r="G116">
        <v>0.01</v>
      </c>
      <c r="H116">
        <v>0.14000000000000001</v>
      </c>
      <c r="I116">
        <v>-7.0000000000000007E-2</v>
      </c>
      <c r="J116">
        <v>-0.45</v>
      </c>
      <c r="K116" s="5">
        <v>-9.2499999999999999E-2</v>
      </c>
      <c r="L116">
        <v>18</v>
      </c>
      <c r="M116">
        <v>39</v>
      </c>
      <c r="N116">
        <v>57</v>
      </c>
      <c r="O116">
        <v>0.85</v>
      </c>
      <c r="P116">
        <v>0.83299999999999996</v>
      </c>
      <c r="Q116" s="4">
        <v>76.769000000000005</v>
      </c>
      <c r="R116" s="4">
        <v>15.04216003</v>
      </c>
      <c r="S116" s="4">
        <v>11.64171812</v>
      </c>
      <c r="T116" s="3">
        <v>23114.809529999999</v>
      </c>
      <c r="U116">
        <v>32.11</v>
      </c>
      <c r="V116" s="2">
        <v>4.4077555627992981E-2</v>
      </c>
      <c r="W116">
        <v>0.315</v>
      </c>
      <c r="X116">
        <v>0.22</v>
      </c>
      <c r="Y116">
        <v>0.54400000000000004</v>
      </c>
      <c r="Z116">
        <v>0.73599999999999999</v>
      </c>
      <c r="AA116">
        <v>0.55200000000000005</v>
      </c>
      <c r="AB116">
        <v>0.49399999999999999</v>
      </c>
    </row>
    <row r="117" spans="1:28" x14ac:dyDescent="0.25">
      <c r="A117" t="s">
        <v>142</v>
      </c>
      <c r="B117">
        <v>2</v>
      </c>
      <c r="C117">
        <v>2.9980000000000002</v>
      </c>
      <c r="D117">
        <v>-0.3</v>
      </c>
      <c r="E117">
        <v>-0.24</v>
      </c>
      <c r="F117">
        <v>-0.27</v>
      </c>
      <c r="G117">
        <v>-1.1599999999999999</v>
      </c>
      <c r="H117">
        <v>-1.06</v>
      </c>
      <c r="I117">
        <v>-0.83</v>
      </c>
      <c r="J117">
        <v>-0.56999999999999995</v>
      </c>
      <c r="K117" s="5">
        <v>-0.90499999999999992</v>
      </c>
      <c r="L117">
        <v>24</v>
      </c>
      <c r="M117">
        <v>36</v>
      </c>
      <c r="N117">
        <v>60</v>
      </c>
      <c r="O117">
        <v>0.66</v>
      </c>
      <c r="P117">
        <v>0.46700000000000003</v>
      </c>
      <c r="Q117" s="4">
        <v>61.786000000000001</v>
      </c>
      <c r="R117" s="4">
        <v>9.0641245749999992</v>
      </c>
      <c r="S117" s="4">
        <v>3.5352976090000001</v>
      </c>
      <c r="T117" s="3">
        <v>1713.727772</v>
      </c>
      <c r="U117">
        <v>38.61</v>
      </c>
      <c r="V117" s="2">
        <v>3.127826250614385E-2</v>
      </c>
      <c r="W117">
        <v>0.44</v>
      </c>
      <c r="X117">
        <v>0.34799999999999998</v>
      </c>
      <c r="Y117">
        <v>0.72599999999999998</v>
      </c>
      <c r="Z117">
        <v>0.63800000000000001</v>
      </c>
      <c r="AA117">
        <v>0.58399999999999996</v>
      </c>
      <c r="AB117">
        <v>0.90400000000000003</v>
      </c>
    </row>
    <row r="118" spans="1:28" x14ac:dyDescent="0.25">
      <c r="A118" t="s">
        <v>143</v>
      </c>
      <c r="B118">
        <v>2</v>
      </c>
      <c r="C118">
        <v>6.5650000000000004</v>
      </c>
      <c r="D118">
        <v>-7.0000000000000007E-2</v>
      </c>
      <c r="E118">
        <v>1.42</v>
      </c>
      <c r="F118">
        <v>0.67499999999999993</v>
      </c>
      <c r="G118">
        <v>2.3199999999999998</v>
      </c>
      <c r="H118">
        <v>2.31</v>
      </c>
      <c r="I118">
        <v>1.75</v>
      </c>
      <c r="J118">
        <v>2.04</v>
      </c>
      <c r="K118" s="5">
        <v>2.105</v>
      </c>
      <c r="L118">
        <v>19</v>
      </c>
      <c r="M118">
        <v>29</v>
      </c>
      <c r="N118">
        <v>48</v>
      </c>
      <c r="O118">
        <v>0.88</v>
      </c>
      <c r="P118">
        <v>0.94599999999999995</v>
      </c>
      <c r="Q118" s="4">
        <v>83.736000000000004</v>
      </c>
      <c r="R118" s="4">
        <v>16.74227905</v>
      </c>
      <c r="S118" s="4">
        <v>11.989999770000001</v>
      </c>
      <c r="T118" s="3">
        <v>111239.2291</v>
      </c>
      <c r="U118">
        <v>17.29</v>
      </c>
      <c r="V118" s="2">
        <v>6.2973830373302619E-2</v>
      </c>
      <c r="W118">
        <v>0.41399999999999998</v>
      </c>
      <c r="X118">
        <v>0.34300000000000003</v>
      </c>
      <c r="Y118">
        <v>0.752</v>
      </c>
      <c r="Z118">
        <v>0.80500000000000005</v>
      </c>
      <c r="AA118">
        <v>0.13200000000000001</v>
      </c>
      <c r="AB118">
        <v>0.74199999999999999</v>
      </c>
    </row>
    <row r="119" spans="1:28" x14ac:dyDescent="0.25">
      <c r="A119" t="s">
        <v>144</v>
      </c>
      <c r="B119">
        <v>3</v>
      </c>
      <c r="C119">
        <v>6.1950000000000003</v>
      </c>
      <c r="D119">
        <v>0.91</v>
      </c>
      <c r="E119">
        <v>0.56999999999999995</v>
      </c>
      <c r="F119">
        <v>0.74</v>
      </c>
      <c r="G119">
        <v>0.23</v>
      </c>
      <c r="H119">
        <v>0.6</v>
      </c>
      <c r="I119">
        <v>0.6</v>
      </c>
      <c r="J119">
        <v>0.28999999999999998</v>
      </c>
      <c r="K119" s="5">
        <v>0.43</v>
      </c>
      <c r="L119">
        <v>37</v>
      </c>
      <c r="M119">
        <v>53</v>
      </c>
      <c r="N119">
        <v>90</v>
      </c>
      <c r="O119">
        <v>0.753</v>
      </c>
      <c r="P119">
        <v>0.41399999999999998</v>
      </c>
      <c r="Q119" s="4">
        <v>57.408000000000001</v>
      </c>
      <c r="R119" s="4">
        <v>7.4357677779999998</v>
      </c>
      <c r="S119" s="4">
        <v>3.989431459</v>
      </c>
      <c r="T119" s="3">
        <v>1099.8606810000001</v>
      </c>
      <c r="U119" t="s">
        <v>222</v>
      </c>
      <c r="V119" s="2">
        <v>4.0695070747226558E-2</v>
      </c>
      <c r="W119">
        <v>0.32700000000000001</v>
      </c>
      <c r="X119">
        <v>0.13300000000000001</v>
      </c>
      <c r="Y119">
        <v>0.26900000000000002</v>
      </c>
      <c r="Z119">
        <v>0.41799999999999998</v>
      </c>
      <c r="AA119">
        <v>0.377</v>
      </c>
      <c r="AB119">
        <v>0.54900000000000004</v>
      </c>
    </row>
    <row r="120" spans="1:28" x14ac:dyDescent="0.25">
      <c r="A120" t="s">
        <v>145</v>
      </c>
      <c r="B120">
        <v>3</v>
      </c>
      <c r="C120">
        <v>6.7919999999999998</v>
      </c>
      <c r="D120">
        <v>1.08</v>
      </c>
      <c r="E120">
        <v>0.82</v>
      </c>
      <c r="F120">
        <v>0.95</v>
      </c>
      <c r="G120">
        <v>1.04</v>
      </c>
      <c r="H120">
        <v>0.73</v>
      </c>
      <c r="I120">
        <v>1.04</v>
      </c>
      <c r="J120">
        <v>0.78</v>
      </c>
      <c r="K120" s="5">
        <v>0.89749999999999996</v>
      </c>
      <c r="L120">
        <v>39</v>
      </c>
      <c r="M120">
        <v>57</v>
      </c>
      <c r="N120">
        <v>96</v>
      </c>
      <c r="O120">
        <v>0.91</v>
      </c>
      <c r="P120">
        <v>0.93100000000000005</v>
      </c>
      <c r="Q120" s="4">
        <v>81.602999999999994</v>
      </c>
      <c r="R120" s="4">
        <v>17.477170940000001</v>
      </c>
      <c r="S120" s="4">
        <v>12.951201920000001</v>
      </c>
      <c r="T120" s="3">
        <v>46360.807789999999</v>
      </c>
      <c r="U120">
        <v>31.27</v>
      </c>
      <c r="V120" s="2">
        <v>5.4791069664922747E-2</v>
      </c>
      <c r="W120">
        <v>0.71599999999999997</v>
      </c>
      <c r="X120">
        <v>0.61899999999999999</v>
      </c>
      <c r="Y120">
        <v>0.86899999999999999</v>
      </c>
      <c r="Z120">
        <v>0.88600000000000001</v>
      </c>
      <c r="AA120">
        <v>0.746</v>
      </c>
      <c r="AB120">
        <v>0.86099999999999999</v>
      </c>
    </row>
    <row r="121" spans="1:28" x14ac:dyDescent="0.25">
      <c r="A121" t="s">
        <v>146</v>
      </c>
      <c r="B121">
        <v>4</v>
      </c>
      <c r="C121">
        <v>5.2130000000000001</v>
      </c>
      <c r="D121">
        <v>0.74</v>
      </c>
      <c r="E121">
        <v>-0.67</v>
      </c>
      <c r="F121">
        <v>3.4999999999999983E-2</v>
      </c>
      <c r="G121">
        <v>-0.26</v>
      </c>
      <c r="H121">
        <v>-0.22</v>
      </c>
      <c r="I121">
        <v>0.09</v>
      </c>
      <c r="J121">
        <v>-0.28000000000000003</v>
      </c>
      <c r="K121" s="5">
        <v>-0.16750000000000001</v>
      </c>
      <c r="L121">
        <v>33</v>
      </c>
      <c r="M121">
        <v>46</v>
      </c>
      <c r="N121">
        <v>79</v>
      </c>
      <c r="O121">
        <v>0.73</v>
      </c>
      <c r="P121">
        <v>0.74099999999999999</v>
      </c>
      <c r="Q121" s="4">
        <v>66.138999999999996</v>
      </c>
      <c r="R121" s="4">
        <v>13.79325008</v>
      </c>
      <c r="S121" s="4">
        <v>11.60999966</v>
      </c>
      <c r="T121" s="3">
        <v>13693.988579999999</v>
      </c>
      <c r="U121">
        <v>36.43</v>
      </c>
      <c r="V121" s="2">
        <v>4.4200583979759463E-2</v>
      </c>
      <c r="W121">
        <v>0.73399999999999999</v>
      </c>
      <c r="X121">
        <v>0.65200000000000002</v>
      </c>
      <c r="Y121">
        <v>0.90300000000000002</v>
      </c>
      <c r="Z121">
        <v>0.64200000000000002</v>
      </c>
      <c r="AA121">
        <v>0.57099999999999995</v>
      </c>
      <c r="AB121">
        <v>0.91</v>
      </c>
    </row>
    <row r="122" spans="1:28" x14ac:dyDescent="0.25">
      <c r="A122" t="s">
        <v>147</v>
      </c>
      <c r="B122">
        <v>3</v>
      </c>
      <c r="C122">
        <v>6.0170000000000003</v>
      </c>
      <c r="D122">
        <v>0.86</v>
      </c>
      <c r="E122">
        <v>0.61</v>
      </c>
      <c r="F122">
        <v>0.73499999999999999</v>
      </c>
      <c r="G122">
        <v>1.4</v>
      </c>
      <c r="H122">
        <v>1.1200000000000001</v>
      </c>
      <c r="I122">
        <v>1.25</v>
      </c>
      <c r="J122">
        <v>0.89</v>
      </c>
      <c r="K122" s="5">
        <v>1.165</v>
      </c>
      <c r="L122">
        <v>33</v>
      </c>
      <c r="M122">
        <v>50</v>
      </c>
      <c r="N122">
        <v>83</v>
      </c>
      <c r="O122">
        <v>0.71699999999999997</v>
      </c>
      <c r="P122">
        <v>0.93700000000000006</v>
      </c>
      <c r="Q122" s="4">
        <v>84.328999999999994</v>
      </c>
      <c r="R122" s="4">
        <v>16.618640899999999</v>
      </c>
      <c r="S122" s="4">
        <v>12.722198690000001</v>
      </c>
      <c r="T122" s="3">
        <v>49726.453269999998</v>
      </c>
      <c r="U122">
        <v>18.809999999999999</v>
      </c>
      <c r="V122" s="2">
        <v>5.9075764754897842E-3</v>
      </c>
      <c r="W122">
        <v>0.32700000000000001</v>
      </c>
      <c r="X122">
        <v>0.13300000000000001</v>
      </c>
      <c r="Y122">
        <v>0.26900000000000002</v>
      </c>
      <c r="Z122">
        <v>0.41799999999999998</v>
      </c>
      <c r="AA122">
        <v>0.377</v>
      </c>
      <c r="AB122">
        <v>0.54900000000000004</v>
      </c>
    </row>
    <row r="123" spans="1:28" x14ac:dyDescent="0.25">
      <c r="A123" t="s">
        <v>148</v>
      </c>
      <c r="B123">
        <v>4</v>
      </c>
      <c r="C123">
        <v>6.4660000000000002</v>
      </c>
      <c r="D123">
        <v>1.19</v>
      </c>
      <c r="E123">
        <v>0.28999999999999998</v>
      </c>
      <c r="F123">
        <v>0.74</v>
      </c>
      <c r="G123">
        <v>0.75</v>
      </c>
      <c r="H123">
        <v>0.69</v>
      </c>
      <c r="I123">
        <v>0.82</v>
      </c>
      <c r="J123">
        <v>0.63</v>
      </c>
      <c r="K123" s="5">
        <v>0.72249999999999992</v>
      </c>
      <c r="L123">
        <v>37</v>
      </c>
      <c r="M123">
        <v>53</v>
      </c>
      <c r="N123">
        <v>90</v>
      </c>
      <c r="O123">
        <v>0.78</v>
      </c>
      <c r="P123">
        <v>0.91800000000000004</v>
      </c>
      <c r="Q123" s="4">
        <v>83.67</v>
      </c>
      <c r="R123" s="4">
        <v>17.830310820000001</v>
      </c>
      <c r="S123" s="4">
        <v>10.75612495</v>
      </c>
      <c r="T123" s="3">
        <v>46008.442210000001</v>
      </c>
      <c r="U123">
        <v>33.57</v>
      </c>
      <c r="V123" s="2">
        <v>0.12915294932144311</v>
      </c>
      <c r="W123">
        <v>0.82899999999999996</v>
      </c>
      <c r="X123">
        <v>0.745</v>
      </c>
      <c r="Y123">
        <v>0.90600000000000003</v>
      </c>
      <c r="Z123">
        <v>0.83899999999999997</v>
      </c>
      <c r="AA123">
        <v>0.63500000000000001</v>
      </c>
      <c r="AB123">
        <v>0.84099999999999997</v>
      </c>
    </row>
    <row r="124" spans="1:28" x14ac:dyDescent="0.25">
      <c r="A124" t="s">
        <v>149</v>
      </c>
      <c r="B124">
        <v>3</v>
      </c>
      <c r="C124">
        <v>3.891</v>
      </c>
      <c r="D124">
        <v>-0.23</v>
      </c>
      <c r="E124">
        <v>-0.51</v>
      </c>
      <c r="F124">
        <v>-0.37</v>
      </c>
      <c r="G124">
        <v>-0.25</v>
      </c>
      <c r="H124">
        <v>-0.51</v>
      </c>
      <c r="I124">
        <v>-0.09</v>
      </c>
      <c r="J124">
        <v>-0.38</v>
      </c>
      <c r="K124" s="5">
        <v>-0.3075</v>
      </c>
      <c r="L124">
        <v>22</v>
      </c>
      <c r="M124">
        <v>32</v>
      </c>
      <c r="N124">
        <v>54</v>
      </c>
      <c r="O124">
        <v>0.79</v>
      </c>
      <c r="P124">
        <v>0.77600000000000002</v>
      </c>
      <c r="Q124" s="4">
        <v>77.483000000000004</v>
      </c>
      <c r="R124" s="4">
        <v>13.12815666</v>
      </c>
      <c r="S124" s="4">
        <v>10.77000046</v>
      </c>
      <c r="T124" s="3">
        <v>12615.60045</v>
      </c>
      <c r="U124">
        <v>32.32</v>
      </c>
      <c r="V124" s="2">
        <v>6.7695325938813444E-2</v>
      </c>
      <c r="W124">
        <v>0.66400000000000003</v>
      </c>
      <c r="X124">
        <v>0.48599999999999999</v>
      </c>
      <c r="Y124">
        <v>0.69899999999999995</v>
      </c>
      <c r="Z124">
        <v>0.67100000000000004</v>
      </c>
      <c r="AA124">
        <v>0.59399999999999997</v>
      </c>
      <c r="AB124">
        <v>0.61699999999999999</v>
      </c>
    </row>
    <row r="125" spans="1:28" x14ac:dyDescent="0.25">
      <c r="A125" t="s">
        <v>150</v>
      </c>
      <c r="B125">
        <v>1</v>
      </c>
      <c r="C125">
        <v>4.22</v>
      </c>
      <c r="D125">
        <v>-1.6</v>
      </c>
      <c r="E125">
        <v>-2.4700000000000002</v>
      </c>
      <c r="F125">
        <v>-2.0350000000000001</v>
      </c>
      <c r="G125">
        <v>-1.98</v>
      </c>
      <c r="H125">
        <v>-1.6</v>
      </c>
      <c r="I125">
        <v>-1.67</v>
      </c>
      <c r="J125">
        <v>-1.5</v>
      </c>
      <c r="K125" s="5">
        <v>-1.6875</v>
      </c>
      <c r="L125">
        <v>-3</v>
      </c>
      <c r="M125">
        <v>9</v>
      </c>
      <c r="N125">
        <v>6</v>
      </c>
      <c r="P125">
        <v>0.51100000000000001</v>
      </c>
      <c r="Q125" s="4">
        <v>66.331000000000003</v>
      </c>
      <c r="R125" s="4">
        <v>8.6203718780000003</v>
      </c>
      <c r="S125" s="4">
        <v>3.9620000000000002</v>
      </c>
      <c r="T125" s="3">
        <v>2810.3120119999999</v>
      </c>
      <c r="U125">
        <v>29.55</v>
      </c>
      <c r="V125" s="2">
        <v>6.3887325521501004E-2</v>
      </c>
      <c r="W125">
        <v>0.13500000000000001</v>
      </c>
      <c r="X125">
        <v>3.7999999999999999E-2</v>
      </c>
      <c r="Y125">
        <v>0.10299999999999999</v>
      </c>
      <c r="Z125">
        <v>0.188</v>
      </c>
      <c r="AA125">
        <v>0.29099999999999998</v>
      </c>
      <c r="AB125">
        <v>0.157</v>
      </c>
    </row>
    <row r="126" spans="1:28" x14ac:dyDescent="0.25">
      <c r="A126" t="s">
        <v>151</v>
      </c>
      <c r="B126">
        <v>3</v>
      </c>
      <c r="C126">
        <v>5.79</v>
      </c>
      <c r="D126">
        <v>0.35</v>
      </c>
      <c r="E126">
        <v>0.41</v>
      </c>
      <c r="F126">
        <v>0.38</v>
      </c>
      <c r="G126">
        <v>-0.97</v>
      </c>
      <c r="H126">
        <v>-0.73</v>
      </c>
      <c r="I126">
        <v>-0.06</v>
      </c>
      <c r="J126">
        <v>-0.4</v>
      </c>
      <c r="K126" s="5">
        <v>-0.54</v>
      </c>
      <c r="L126">
        <v>34</v>
      </c>
      <c r="M126">
        <v>45</v>
      </c>
      <c r="N126">
        <v>79</v>
      </c>
      <c r="P126">
        <v>0.72199999999999998</v>
      </c>
      <c r="Q126" s="4">
        <v>73.631</v>
      </c>
      <c r="R126" s="4">
        <v>10.95909977</v>
      </c>
      <c r="S126" s="4">
        <v>8.4297595820000009</v>
      </c>
      <c r="T126" s="3">
        <v>17344.386910000001</v>
      </c>
      <c r="U126">
        <v>39.17</v>
      </c>
      <c r="V126" s="2">
        <v>2.7872362888828661E-2</v>
      </c>
      <c r="W126">
        <v>0.76800000000000002</v>
      </c>
      <c r="X126">
        <v>0.63700000000000001</v>
      </c>
      <c r="Y126">
        <v>0.82099999999999995</v>
      </c>
      <c r="Z126">
        <v>0.71499999999999997</v>
      </c>
      <c r="AA126">
        <v>0.58099999999999996</v>
      </c>
      <c r="AB126">
        <v>0.76400000000000001</v>
      </c>
    </row>
    <row r="127" spans="1:28" x14ac:dyDescent="0.25">
      <c r="A127" t="s">
        <v>152</v>
      </c>
      <c r="B127">
        <v>4</v>
      </c>
      <c r="C127">
        <v>7.3449999999999998</v>
      </c>
      <c r="D127">
        <v>1.57</v>
      </c>
      <c r="E127">
        <v>0.76</v>
      </c>
      <c r="F127">
        <v>1.165</v>
      </c>
      <c r="G127">
        <v>1.6</v>
      </c>
      <c r="H127">
        <v>1.72</v>
      </c>
      <c r="I127">
        <v>1.6</v>
      </c>
      <c r="J127">
        <v>2.0299999999999998</v>
      </c>
      <c r="K127" s="5">
        <v>1.7375</v>
      </c>
      <c r="L127">
        <v>40</v>
      </c>
      <c r="M127">
        <v>59</v>
      </c>
      <c r="N127">
        <v>99</v>
      </c>
      <c r="O127">
        <v>0.95</v>
      </c>
      <c r="P127">
        <v>0.95899999999999996</v>
      </c>
      <c r="Q127" s="4">
        <v>83.262</v>
      </c>
      <c r="R127" s="4">
        <v>18.991470339999999</v>
      </c>
      <c r="S127" s="4">
        <v>12.740325739999999</v>
      </c>
      <c r="T127" s="3">
        <v>66102.085949999993</v>
      </c>
      <c r="U127">
        <v>35.090000000000003</v>
      </c>
      <c r="V127" s="2">
        <v>3.9087545686655401E-2</v>
      </c>
      <c r="W127">
        <v>0.88100000000000001</v>
      </c>
      <c r="X127">
        <v>0.84499999999999997</v>
      </c>
      <c r="Y127">
        <v>0.97799999999999998</v>
      </c>
      <c r="Z127">
        <v>0.90700000000000003</v>
      </c>
      <c r="AA127">
        <v>0.65300000000000002</v>
      </c>
      <c r="AB127">
        <v>0.90800000000000003</v>
      </c>
    </row>
    <row r="128" spans="1:28" x14ac:dyDescent="0.25">
      <c r="A128" t="s">
        <v>153</v>
      </c>
      <c r="B128">
        <v>4</v>
      </c>
      <c r="C128">
        <v>6.9349999999999996</v>
      </c>
      <c r="D128">
        <v>1.67</v>
      </c>
      <c r="E128">
        <v>1.07</v>
      </c>
      <c r="F128">
        <v>1.37</v>
      </c>
      <c r="G128">
        <v>2.13</v>
      </c>
      <c r="H128">
        <v>1.73</v>
      </c>
      <c r="I128">
        <v>1.76</v>
      </c>
      <c r="J128">
        <v>2.02</v>
      </c>
      <c r="K128" s="5">
        <v>1.91</v>
      </c>
      <c r="L128">
        <v>39</v>
      </c>
      <c r="M128">
        <v>57</v>
      </c>
      <c r="N128">
        <v>96</v>
      </c>
      <c r="O128">
        <v>0.89</v>
      </c>
      <c r="P128">
        <v>0.97</v>
      </c>
      <c r="Q128" s="4">
        <v>83.953999999999994</v>
      </c>
      <c r="R128" s="4">
        <v>16.667530060000001</v>
      </c>
      <c r="S128" s="4">
        <v>13.94912109</v>
      </c>
      <c r="T128" s="3">
        <v>81948.901769999997</v>
      </c>
      <c r="U128">
        <v>33.090000000000003</v>
      </c>
      <c r="V128" s="2">
        <v>-3.0118486951569161E-3</v>
      </c>
      <c r="W128">
        <v>0.89400000000000002</v>
      </c>
      <c r="X128">
        <v>0.84699999999999998</v>
      </c>
      <c r="Y128">
        <v>0.96199999999999997</v>
      </c>
      <c r="Z128">
        <v>0.93700000000000006</v>
      </c>
      <c r="AA128">
        <v>0.88100000000000001</v>
      </c>
      <c r="AB128">
        <v>0.98399999999999999</v>
      </c>
    </row>
    <row r="129" spans="1:28" x14ac:dyDescent="0.25">
      <c r="A129" t="s">
        <v>154</v>
      </c>
      <c r="B129">
        <v>1</v>
      </c>
      <c r="C129">
        <v>2.72</v>
      </c>
      <c r="D129">
        <v>-1.85</v>
      </c>
      <c r="E129">
        <v>-2.75</v>
      </c>
      <c r="F129">
        <v>-2.2999999999999998</v>
      </c>
      <c r="G129">
        <v>-1.79</v>
      </c>
      <c r="H129">
        <v>-1.81</v>
      </c>
      <c r="I129">
        <v>-2.04</v>
      </c>
      <c r="J129">
        <v>-1.75</v>
      </c>
      <c r="K129" s="5">
        <v>-1.8474999999999999</v>
      </c>
      <c r="L129">
        <v>-3</v>
      </c>
      <c r="M129">
        <v>4</v>
      </c>
      <c r="N129">
        <v>1</v>
      </c>
      <c r="P129">
        <v>0.56399999999999995</v>
      </c>
      <c r="Q129" s="4">
        <v>72.12</v>
      </c>
      <c r="R129" s="4">
        <v>7.4187545269999999</v>
      </c>
      <c r="S129" s="4">
        <v>5.9355200620000002</v>
      </c>
      <c r="T129" s="3">
        <v>3917.702385</v>
      </c>
      <c r="U129">
        <v>35.85</v>
      </c>
      <c r="V129" s="2">
        <v>9.3520176209278272E-2</v>
      </c>
      <c r="W129">
        <v>0.14499999999999999</v>
      </c>
      <c r="X129">
        <v>5.3999999999999999E-2</v>
      </c>
      <c r="Y129">
        <v>0.155</v>
      </c>
      <c r="Z129">
        <v>0.23</v>
      </c>
      <c r="AA129">
        <v>0.19400000000000001</v>
      </c>
      <c r="AB129">
        <v>8.5000000000000006E-2</v>
      </c>
    </row>
    <row r="130" spans="1:28" x14ac:dyDescent="0.25">
      <c r="A130" t="s">
        <v>155</v>
      </c>
      <c r="B130">
        <v>4</v>
      </c>
      <c r="C130">
        <v>6.4649999999999999</v>
      </c>
      <c r="D130">
        <v>1.1000000000000001</v>
      </c>
      <c r="E130">
        <v>0.76</v>
      </c>
      <c r="F130">
        <v>0.93</v>
      </c>
      <c r="G130">
        <v>1.48</v>
      </c>
      <c r="H130">
        <v>1.45</v>
      </c>
      <c r="I130">
        <v>1.26</v>
      </c>
      <c r="J130">
        <v>1.2</v>
      </c>
      <c r="K130" s="5">
        <v>1.3474999999999999</v>
      </c>
      <c r="L130">
        <v>38</v>
      </c>
      <c r="M130">
        <v>56</v>
      </c>
      <c r="N130">
        <v>94</v>
      </c>
      <c r="O130">
        <v>0.80400000000000005</v>
      </c>
      <c r="P130">
        <v>0.79700000000000004</v>
      </c>
      <c r="Q130" s="4">
        <v>77.953000000000003</v>
      </c>
      <c r="R130" s="4">
        <v>15.478749499999999</v>
      </c>
      <c r="S130" s="4">
        <v>8.0361815970000006</v>
      </c>
      <c r="T130" s="3">
        <v>22029.222529999999</v>
      </c>
      <c r="U130">
        <v>7.07</v>
      </c>
      <c r="V130" s="2">
        <v>-1.1003505219624451E-2</v>
      </c>
      <c r="W130">
        <v>0.8</v>
      </c>
      <c r="X130">
        <v>0.7</v>
      </c>
      <c r="Y130">
        <v>0.878</v>
      </c>
      <c r="Z130">
        <v>0.874</v>
      </c>
      <c r="AA130">
        <v>0.748</v>
      </c>
      <c r="AB130">
        <v>0.84399999999999997</v>
      </c>
    </row>
    <row r="131" spans="1:28" x14ac:dyDescent="0.25">
      <c r="A131" t="s">
        <v>156</v>
      </c>
      <c r="B131">
        <v>2</v>
      </c>
      <c r="C131">
        <v>5.4109999999999996</v>
      </c>
      <c r="D131">
        <v>-1.63</v>
      </c>
      <c r="E131">
        <v>-0.47</v>
      </c>
      <c r="F131">
        <v>-1.05</v>
      </c>
      <c r="G131">
        <v>-0.77</v>
      </c>
      <c r="H131">
        <v>-1.18</v>
      </c>
      <c r="I131">
        <v>-1.28</v>
      </c>
      <c r="J131">
        <v>-1.38</v>
      </c>
      <c r="K131" s="5">
        <v>-1.1525000000000001</v>
      </c>
      <c r="L131">
        <v>0</v>
      </c>
      <c r="M131">
        <v>5</v>
      </c>
      <c r="N131">
        <v>5</v>
      </c>
      <c r="O131">
        <v>0.83</v>
      </c>
      <c r="P131">
        <v>0.69099999999999995</v>
      </c>
      <c r="Q131" s="4">
        <v>71.790000000000006</v>
      </c>
      <c r="R131" s="4">
        <v>10.84980801</v>
      </c>
      <c r="S131" s="4">
        <v>11.27094825</v>
      </c>
      <c r="T131" s="3">
        <v>5746.5689689999999</v>
      </c>
      <c r="U131">
        <v>37.21</v>
      </c>
      <c r="V131" s="2">
        <v>4.1588721527737849E-2</v>
      </c>
      <c r="W131">
        <v>0.17399999999999999</v>
      </c>
      <c r="X131">
        <v>0.05</v>
      </c>
      <c r="Y131">
        <v>0.12</v>
      </c>
      <c r="Z131">
        <v>0.19700000000000001</v>
      </c>
      <c r="AA131">
        <v>0.14399999999999999</v>
      </c>
      <c r="AB131">
        <v>0.13600000000000001</v>
      </c>
    </row>
    <row r="132" spans="1:28" x14ac:dyDescent="0.25">
      <c r="A132" t="s">
        <v>157</v>
      </c>
      <c r="B132">
        <v>2</v>
      </c>
      <c r="C132">
        <v>3.8</v>
      </c>
      <c r="D132">
        <v>-0.53</v>
      </c>
      <c r="E132">
        <v>-0.05</v>
      </c>
      <c r="F132">
        <v>-0.28999999999999998</v>
      </c>
      <c r="G132">
        <v>-0.46</v>
      </c>
      <c r="H132">
        <v>-0.59</v>
      </c>
      <c r="I132">
        <v>-0.37</v>
      </c>
      <c r="J132">
        <v>-0.32</v>
      </c>
      <c r="K132" s="5">
        <v>-0.435</v>
      </c>
      <c r="L132">
        <v>12</v>
      </c>
      <c r="M132">
        <v>24</v>
      </c>
      <c r="N132">
        <v>36</v>
      </c>
      <c r="O132">
        <v>0.84</v>
      </c>
      <c r="P132">
        <v>0.55500000000000005</v>
      </c>
      <c r="Q132" s="4">
        <v>66.995000000000005</v>
      </c>
      <c r="R132" s="4">
        <v>8.5857400889999997</v>
      </c>
      <c r="S132" s="4">
        <v>6.0653500559999998</v>
      </c>
      <c r="T132" s="3">
        <v>3514.632861</v>
      </c>
      <c r="U132">
        <v>20.18</v>
      </c>
      <c r="V132" s="2"/>
      <c r="W132">
        <v>0.41499999999999998</v>
      </c>
      <c r="X132">
        <v>0.36799999999999999</v>
      </c>
      <c r="Y132">
        <v>0.82</v>
      </c>
      <c r="Z132">
        <v>0.753</v>
      </c>
      <c r="AA132">
        <v>0.54800000000000004</v>
      </c>
      <c r="AB132">
        <v>0.68100000000000005</v>
      </c>
    </row>
    <row r="133" spans="1:28" x14ac:dyDescent="0.25">
      <c r="A133" t="s">
        <v>158</v>
      </c>
      <c r="B133">
        <v>2</v>
      </c>
      <c r="C133">
        <v>6.2220000000000004</v>
      </c>
      <c r="D133">
        <v>-0.45</v>
      </c>
      <c r="E133">
        <v>-0.28000000000000003</v>
      </c>
      <c r="F133">
        <v>-0.36499999999999999</v>
      </c>
      <c r="G133">
        <v>0.17</v>
      </c>
      <c r="H133">
        <v>0.16</v>
      </c>
      <c r="I133">
        <v>0.24</v>
      </c>
      <c r="J133">
        <v>-0.49</v>
      </c>
      <c r="K133" s="5">
        <v>2.0000000000000021E-2</v>
      </c>
      <c r="L133">
        <v>12</v>
      </c>
      <c r="M133">
        <v>24</v>
      </c>
      <c r="N133">
        <v>36</v>
      </c>
      <c r="O133">
        <v>0.85</v>
      </c>
      <c r="P133">
        <v>0.79800000000000004</v>
      </c>
      <c r="Q133" s="4">
        <v>76.412000000000006</v>
      </c>
      <c r="R133" s="4">
        <v>15.35883492</v>
      </c>
      <c r="S133" s="4">
        <v>9.0399999619999996</v>
      </c>
      <c r="T133" s="3">
        <v>20569.901760000001</v>
      </c>
      <c r="U133">
        <v>29.4</v>
      </c>
      <c r="V133" s="2">
        <v>6.3081550255039975E-2</v>
      </c>
      <c r="W133">
        <v>0.38900000000000001</v>
      </c>
      <c r="X133">
        <v>0.28899999999999998</v>
      </c>
      <c r="Y133">
        <v>0.64600000000000002</v>
      </c>
      <c r="Z133">
        <v>0.48299999999999998</v>
      </c>
      <c r="AA133">
        <v>0.35599999999999998</v>
      </c>
      <c r="AB133">
        <v>0.371</v>
      </c>
    </row>
    <row r="134" spans="1:28" x14ac:dyDescent="0.25">
      <c r="A134" t="s">
        <v>159</v>
      </c>
      <c r="B134">
        <v>2</v>
      </c>
      <c r="C134">
        <v>4.3150000000000004</v>
      </c>
      <c r="D134">
        <v>-0.78</v>
      </c>
      <c r="E134">
        <v>-0.95</v>
      </c>
      <c r="F134">
        <v>-0.86499999999999999</v>
      </c>
      <c r="G134">
        <v>-0.57999999999999996</v>
      </c>
      <c r="H134">
        <v>-0.49</v>
      </c>
      <c r="I134">
        <v>-0.53</v>
      </c>
      <c r="J134">
        <v>-0.62</v>
      </c>
      <c r="K134" s="5">
        <v>-0.55499999999999994</v>
      </c>
      <c r="L134">
        <v>15</v>
      </c>
      <c r="M134">
        <v>27</v>
      </c>
      <c r="N134">
        <v>42</v>
      </c>
      <c r="O134">
        <v>0.66</v>
      </c>
      <c r="P134">
        <v>0.57099999999999995</v>
      </c>
      <c r="Q134" s="4">
        <v>62.738999999999997</v>
      </c>
      <c r="R134" s="4">
        <v>13.096423870000001</v>
      </c>
      <c r="S134" s="4">
        <v>5.8611146190000003</v>
      </c>
      <c r="T134" s="3">
        <v>2855.9638279999999</v>
      </c>
      <c r="U134">
        <v>35.6</v>
      </c>
      <c r="V134" s="2">
        <v>7.3878871846849659E-2</v>
      </c>
      <c r="W134">
        <v>0.35499999999999998</v>
      </c>
      <c r="X134">
        <v>0.17299999999999999</v>
      </c>
      <c r="Y134">
        <v>0.35499999999999998</v>
      </c>
      <c r="Z134">
        <v>0.622</v>
      </c>
      <c r="AA134">
        <v>0.46300000000000002</v>
      </c>
      <c r="AB134">
        <v>0.72399999999999998</v>
      </c>
    </row>
    <row r="135" spans="1:28" x14ac:dyDescent="0.25">
      <c r="A135" t="s">
        <v>160</v>
      </c>
      <c r="B135">
        <v>3</v>
      </c>
      <c r="C135">
        <v>5.9050000000000002</v>
      </c>
      <c r="D135">
        <v>0.62</v>
      </c>
      <c r="E135">
        <v>0.4</v>
      </c>
      <c r="F135">
        <v>0.51</v>
      </c>
      <c r="G135">
        <v>-0.04</v>
      </c>
      <c r="H135">
        <v>-0.13</v>
      </c>
      <c r="I135">
        <v>-0.28000000000000003</v>
      </c>
      <c r="J135">
        <v>-0.37</v>
      </c>
      <c r="K135" s="5">
        <v>-0.20499999999999999</v>
      </c>
      <c r="L135">
        <v>33</v>
      </c>
      <c r="M135">
        <v>49</v>
      </c>
      <c r="N135">
        <v>82</v>
      </c>
      <c r="P135">
        <v>0.80700000000000005</v>
      </c>
      <c r="Q135" s="4">
        <v>73.489999999999995</v>
      </c>
      <c r="R135" s="4">
        <v>14.23764336</v>
      </c>
      <c r="S135" s="4">
        <v>10.792750359999999</v>
      </c>
      <c r="T135" s="3">
        <v>27000.145110000001</v>
      </c>
      <c r="U135">
        <v>35.81</v>
      </c>
      <c r="V135" s="2">
        <v>0.1035221825091954</v>
      </c>
      <c r="W135">
        <v>0.755</v>
      </c>
      <c r="X135">
        <v>0.627</v>
      </c>
      <c r="Y135">
        <v>0.82599999999999996</v>
      </c>
      <c r="Z135">
        <v>0.78600000000000003</v>
      </c>
      <c r="AA135">
        <v>0.58199999999999996</v>
      </c>
      <c r="AB135">
        <v>0.92500000000000004</v>
      </c>
    </row>
    <row r="136" spans="1:28" x14ac:dyDescent="0.25">
      <c r="A136" t="s">
        <v>161</v>
      </c>
      <c r="B136">
        <v>2</v>
      </c>
      <c r="C136">
        <v>4.5519999999999996</v>
      </c>
      <c r="D136">
        <v>-0.21</v>
      </c>
      <c r="E136">
        <v>-0.63</v>
      </c>
      <c r="F136">
        <v>-0.42</v>
      </c>
      <c r="G136">
        <v>-0.3</v>
      </c>
      <c r="H136">
        <v>-0.62</v>
      </c>
      <c r="I136">
        <v>-0.14000000000000001</v>
      </c>
      <c r="J136">
        <v>-0.34</v>
      </c>
      <c r="K136" s="5">
        <v>-0.35</v>
      </c>
      <c r="L136">
        <v>16</v>
      </c>
      <c r="M136">
        <v>35</v>
      </c>
      <c r="N136">
        <v>51</v>
      </c>
      <c r="O136">
        <v>0.57999999999999996</v>
      </c>
      <c r="P136">
        <v>0.746</v>
      </c>
      <c r="Q136" s="4">
        <v>76.507999999999996</v>
      </c>
      <c r="R136" s="4">
        <v>14.673498560000001</v>
      </c>
      <c r="S136" s="4">
        <v>7.5949201579999999</v>
      </c>
      <c r="T136" s="3">
        <v>12011.387849999999</v>
      </c>
      <c r="U136">
        <v>36.08</v>
      </c>
      <c r="V136" s="2">
        <v>0.1011516753702581</v>
      </c>
      <c r="W136">
        <v>0.434</v>
      </c>
      <c r="X136">
        <v>0.25800000000000001</v>
      </c>
      <c r="Y136">
        <v>0.496</v>
      </c>
      <c r="Z136">
        <v>0.80500000000000005</v>
      </c>
      <c r="AA136">
        <v>0.50800000000000001</v>
      </c>
      <c r="AB136">
        <v>0.751</v>
      </c>
    </row>
    <row r="137" spans="1:28" x14ac:dyDescent="0.25">
      <c r="A137" t="s">
        <v>162</v>
      </c>
      <c r="B137">
        <v>2</v>
      </c>
      <c r="C137">
        <v>5.2619999999999996</v>
      </c>
      <c r="D137">
        <v>-0.86</v>
      </c>
      <c r="E137">
        <v>-1.01</v>
      </c>
      <c r="F137">
        <v>-0.93500000000000005</v>
      </c>
      <c r="G137">
        <v>-0.25</v>
      </c>
      <c r="H137">
        <v>-0.23</v>
      </c>
      <c r="I137">
        <v>-0.51</v>
      </c>
      <c r="J137">
        <v>-0.5</v>
      </c>
      <c r="K137" s="5">
        <v>-0.3725</v>
      </c>
      <c r="L137">
        <v>17</v>
      </c>
      <c r="M137">
        <v>16</v>
      </c>
      <c r="N137">
        <v>33</v>
      </c>
      <c r="O137">
        <v>0.48</v>
      </c>
      <c r="P137">
        <v>0.85299999999999998</v>
      </c>
      <c r="Q137" s="4">
        <v>77.156000000000006</v>
      </c>
      <c r="R137" s="4">
        <v>19.8307991</v>
      </c>
      <c r="S137" s="4">
        <v>8.9862436599999995</v>
      </c>
      <c r="T137" s="3">
        <v>34506.980649999998</v>
      </c>
      <c r="V137" s="2">
        <v>7.372058644339663E-2</v>
      </c>
      <c r="W137">
        <v>0.28799999999999998</v>
      </c>
      <c r="X137">
        <v>0.11700000000000001</v>
      </c>
      <c r="Y137">
        <v>0.255</v>
      </c>
      <c r="Z137">
        <v>0.53900000000000003</v>
      </c>
      <c r="AA137">
        <v>0.42199999999999999</v>
      </c>
      <c r="AB137">
        <v>0.182</v>
      </c>
    </row>
    <row r="138" spans="1:28" x14ac:dyDescent="0.25">
      <c r="A138" t="s">
        <v>163</v>
      </c>
      <c r="B138">
        <v>1</v>
      </c>
      <c r="C138">
        <v>5.73</v>
      </c>
      <c r="D138">
        <v>-1.88</v>
      </c>
      <c r="E138">
        <v>-0.11</v>
      </c>
      <c r="F138">
        <v>-0.995</v>
      </c>
      <c r="G138">
        <v>-1.21</v>
      </c>
      <c r="H138">
        <v>-2.0699999999999998</v>
      </c>
      <c r="I138">
        <v>-1.49</v>
      </c>
      <c r="J138">
        <v>-1.42</v>
      </c>
      <c r="K138" s="5">
        <v>-1.5475000000000001</v>
      </c>
      <c r="L138">
        <v>0</v>
      </c>
      <c r="M138">
        <v>2</v>
      </c>
      <c r="N138">
        <v>2</v>
      </c>
      <c r="P138">
        <v>0.76400000000000001</v>
      </c>
      <c r="Q138" s="4">
        <v>70.072999999999993</v>
      </c>
      <c r="R138" s="4">
        <v>13.240579609999999</v>
      </c>
      <c r="S138" s="4">
        <v>11.20780193</v>
      </c>
      <c r="T138" s="3">
        <v>17715.58167</v>
      </c>
      <c r="U138">
        <v>39.6</v>
      </c>
      <c r="V138" s="2"/>
      <c r="W138">
        <v>0.14899999999999999</v>
      </c>
      <c r="X138">
        <v>3.3000000000000002E-2</v>
      </c>
      <c r="Y138">
        <v>7.5999999999999998E-2</v>
      </c>
      <c r="Z138">
        <v>0.28899999999999998</v>
      </c>
      <c r="AA138">
        <v>7.4999999999999997E-2</v>
      </c>
      <c r="AB138">
        <v>3.9E-2</v>
      </c>
    </row>
    <row r="139" spans="1:28" x14ac:dyDescent="0.25">
      <c r="A139" t="s">
        <v>164</v>
      </c>
      <c r="B139">
        <v>2</v>
      </c>
      <c r="C139">
        <v>4.4610000000000003</v>
      </c>
      <c r="D139">
        <v>-0.7</v>
      </c>
      <c r="E139">
        <v>-0.7</v>
      </c>
      <c r="F139">
        <v>-0.7</v>
      </c>
      <c r="G139">
        <v>-0.55000000000000004</v>
      </c>
      <c r="H139">
        <v>-0.52</v>
      </c>
      <c r="I139">
        <v>-0.47</v>
      </c>
      <c r="J139">
        <v>-1.04</v>
      </c>
      <c r="K139" s="5">
        <v>-0.64500000000000002</v>
      </c>
      <c r="L139">
        <v>10</v>
      </c>
      <c r="M139">
        <v>24</v>
      </c>
      <c r="N139">
        <v>34</v>
      </c>
      <c r="O139">
        <v>0.7</v>
      </c>
      <c r="P139">
        <v>0.58199999999999996</v>
      </c>
      <c r="Q139" s="4">
        <v>68.251999999999995</v>
      </c>
      <c r="R139" s="4">
        <v>11.564048189999999</v>
      </c>
      <c r="S139" s="4">
        <v>6.3236630820000004</v>
      </c>
      <c r="T139" s="3">
        <v>2736.4100210000001</v>
      </c>
      <c r="U139">
        <v>35.28</v>
      </c>
      <c r="V139" s="2">
        <v>6.0017889132021718E-2</v>
      </c>
      <c r="W139">
        <v>0.27200000000000002</v>
      </c>
      <c r="X139">
        <v>0.20100000000000001</v>
      </c>
      <c r="Y139">
        <v>0.53600000000000003</v>
      </c>
      <c r="Z139">
        <v>0.47699999999999998</v>
      </c>
      <c r="AA139">
        <v>0.41499999999999998</v>
      </c>
      <c r="AB139">
        <v>0.65700000000000003</v>
      </c>
    </row>
    <row r="140" spans="1:28" x14ac:dyDescent="0.25">
      <c r="A140" t="s">
        <v>165</v>
      </c>
      <c r="B140">
        <v>2</v>
      </c>
      <c r="C140">
        <v>4.68</v>
      </c>
      <c r="D140">
        <v>-0.1</v>
      </c>
      <c r="E140">
        <v>-1.43</v>
      </c>
      <c r="F140">
        <v>-0.76500000000000001</v>
      </c>
      <c r="G140">
        <v>-0.36</v>
      </c>
      <c r="H140">
        <v>-0.27</v>
      </c>
      <c r="I140">
        <v>-0.89</v>
      </c>
      <c r="J140">
        <v>-0.69</v>
      </c>
      <c r="K140" s="5">
        <v>-0.55249999999999999</v>
      </c>
      <c r="L140">
        <v>21</v>
      </c>
      <c r="M140">
        <v>28</v>
      </c>
      <c r="N140">
        <v>49</v>
      </c>
      <c r="O140">
        <v>0.8</v>
      </c>
      <c r="P140">
        <v>0.77900000000000003</v>
      </c>
      <c r="Q140" s="4">
        <v>73.421999999999997</v>
      </c>
      <c r="R140" s="4">
        <v>13.328009610000001</v>
      </c>
      <c r="S140" s="4">
        <v>11.12273899</v>
      </c>
      <c r="T140" s="3">
        <v>16933.144530000001</v>
      </c>
      <c r="U140">
        <v>39.76</v>
      </c>
      <c r="V140" s="2">
        <v>0.19534911074909761</v>
      </c>
      <c r="W140">
        <v>0.38900000000000001</v>
      </c>
      <c r="X140">
        <v>0.23300000000000001</v>
      </c>
      <c r="Y140">
        <v>0.48599999999999999</v>
      </c>
      <c r="Z140">
        <v>0.63800000000000001</v>
      </c>
      <c r="AA140">
        <v>0.57499999999999996</v>
      </c>
      <c r="AB140">
        <v>0.79100000000000004</v>
      </c>
    </row>
    <row r="141" spans="1:28" x14ac:dyDescent="0.25">
      <c r="A141" t="s">
        <v>166</v>
      </c>
      <c r="C141">
        <v>6.7590000000000003</v>
      </c>
      <c r="D141">
        <v>-1.0900000000000001</v>
      </c>
      <c r="E141">
        <v>0.68</v>
      </c>
      <c r="F141">
        <v>-0.20499999999999999</v>
      </c>
      <c r="G141">
        <v>1.6</v>
      </c>
      <c r="H141">
        <v>1.04</v>
      </c>
      <c r="I141">
        <v>0.88</v>
      </c>
      <c r="J141">
        <v>1.07</v>
      </c>
      <c r="K141" s="5">
        <v>1.1475</v>
      </c>
      <c r="L141">
        <v>5</v>
      </c>
      <c r="M141">
        <v>13</v>
      </c>
      <c r="N141">
        <v>18</v>
      </c>
      <c r="O141">
        <v>0.8</v>
      </c>
      <c r="P141">
        <v>0.55500000000000005</v>
      </c>
      <c r="Q141" s="4">
        <v>66.995000000000005</v>
      </c>
      <c r="R141" s="4">
        <v>8.5857400889999997</v>
      </c>
      <c r="S141" s="4">
        <v>6.0653500559999998</v>
      </c>
      <c r="T141" s="3">
        <v>3514.632861</v>
      </c>
      <c r="U141">
        <v>39.83</v>
      </c>
      <c r="V141" s="2">
        <v>0.32206956554555211</v>
      </c>
      <c r="W141">
        <v>0.84</v>
      </c>
      <c r="X141">
        <v>0.748</v>
      </c>
      <c r="Y141">
        <v>0.89</v>
      </c>
      <c r="Z141">
        <v>0.66700000000000004</v>
      </c>
      <c r="AA141">
        <v>0.65500000000000003</v>
      </c>
      <c r="AB141">
        <v>0.88400000000000001</v>
      </c>
    </row>
    <row r="142" spans="1:28" x14ac:dyDescent="0.25">
      <c r="A142" t="s">
        <v>167</v>
      </c>
      <c r="B142">
        <v>3</v>
      </c>
      <c r="C142">
        <v>6.7279999999999998</v>
      </c>
      <c r="D142">
        <v>1.26</v>
      </c>
      <c r="E142">
        <v>0.51</v>
      </c>
      <c r="F142">
        <v>0.88500000000000001</v>
      </c>
      <c r="G142">
        <v>1.1599999999999999</v>
      </c>
      <c r="H142">
        <v>1.54</v>
      </c>
      <c r="I142">
        <v>1.4</v>
      </c>
      <c r="J142">
        <v>1.48</v>
      </c>
      <c r="K142" s="5">
        <v>1.395</v>
      </c>
      <c r="L142">
        <v>38</v>
      </c>
      <c r="M142">
        <v>53</v>
      </c>
      <c r="N142">
        <v>91</v>
      </c>
      <c r="O142">
        <v>0.85</v>
      </c>
      <c r="P142">
        <v>0.94599999999999995</v>
      </c>
      <c r="Q142" s="4">
        <v>81.302000000000007</v>
      </c>
      <c r="R142" s="4">
        <v>17.811069490000001</v>
      </c>
      <c r="S142" s="4">
        <v>13.489999770000001</v>
      </c>
      <c r="T142" s="3">
        <v>54371.586340000002</v>
      </c>
      <c r="U142">
        <v>30.85</v>
      </c>
      <c r="V142" s="2">
        <v>3.3360777238912398E-2</v>
      </c>
      <c r="W142">
        <v>0.83299999999999996</v>
      </c>
      <c r="X142">
        <v>0.752</v>
      </c>
      <c r="Y142">
        <v>0.91</v>
      </c>
      <c r="Z142">
        <v>0.78400000000000003</v>
      </c>
      <c r="AA142">
        <v>0.63700000000000001</v>
      </c>
      <c r="AB142">
        <v>0.86699999999999999</v>
      </c>
    </row>
    <row r="143" spans="1:28" x14ac:dyDescent="0.25">
      <c r="A143" t="s">
        <v>168</v>
      </c>
      <c r="B143">
        <v>4</v>
      </c>
      <c r="C143">
        <v>6.7240000000000002</v>
      </c>
      <c r="D143">
        <v>0.88</v>
      </c>
      <c r="E143">
        <v>0.03</v>
      </c>
      <c r="F143">
        <v>0.45500000000000002</v>
      </c>
      <c r="G143">
        <v>1.22</v>
      </c>
      <c r="H143">
        <v>1.39</v>
      </c>
      <c r="I143">
        <v>1.33</v>
      </c>
      <c r="J143">
        <v>1.1200000000000001</v>
      </c>
      <c r="K143" s="5">
        <v>1.2649999999999999</v>
      </c>
      <c r="L143">
        <v>33</v>
      </c>
      <c r="M143">
        <v>50</v>
      </c>
      <c r="N143">
        <v>83</v>
      </c>
      <c r="O143">
        <v>0.8</v>
      </c>
      <c r="P143">
        <v>0.93799999999999994</v>
      </c>
      <c r="Q143" s="4">
        <v>79.304000000000002</v>
      </c>
      <c r="R143" s="4">
        <v>15.92300034</v>
      </c>
      <c r="S143" s="4">
        <v>13.90999985</v>
      </c>
      <c r="T143" s="3">
        <v>73650.030769999998</v>
      </c>
      <c r="U143">
        <v>39.83</v>
      </c>
      <c r="V143" s="2">
        <v>0.32206956554555211</v>
      </c>
      <c r="W143">
        <v>0.84</v>
      </c>
      <c r="X143">
        <v>0.748</v>
      </c>
      <c r="Y143">
        <v>0.89</v>
      </c>
      <c r="Z143">
        <v>0.66700000000000004</v>
      </c>
      <c r="AA143">
        <v>0.65500000000000003</v>
      </c>
      <c r="AB143">
        <v>0.88400000000000001</v>
      </c>
    </row>
    <row r="144" spans="1:28" x14ac:dyDescent="0.25">
      <c r="A144" t="s">
        <v>169</v>
      </c>
      <c r="B144">
        <v>4</v>
      </c>
      <c r="C144">
        <v>6.6609999999999996</v>
      </c>
      <c r="D144">
        <v>1.28</v>
      </c>
      <c r="E144">
        <v>0.96</v>
      </c>
      <c r="F144">
        <v>1.1200000000000001</v>
      </c>
      <c r="G144">
        <v>0.85</v>
      </c>
      <c r="H144">
        <v>0.68</v>
      </c>
      <c r="I144">
        <v>0.72</v>
      </c>
      <c r="J144">
        <v>1.57</v>
      </c>
      <c r="K144" s="5">
        <v>0.95500000000000007</v>
      </c>
      <c r="L144">
        <v>40</v>
      </c>
      <c r="M144">
        <v>56</v>
      </c>
      <c r="N144">
        <v>96</v>
      </c>
      <c r="O144">
        <v>0.9</v>
      </c>
      <c r="P144">
        <v>0.86199999999999999</v>
      </c>
      <c r="Q144" s="4">
        <v>78.138000000000005</v>
      </c>
      <c r="R144" s="4">
        <v>17.483959200000001</v>
      </c>
      <c r="S144" s="4">
        <v>10.539999959999999</v>
      </c>
      <c r="T144" s="3">
        <v>28649.82199</v>
      </c>
      <c r="U144">
        <v>40.520000000000003</v>
      </c>
      <c r="V144" s="2">
        <v>8.6698958553365846E-2</v>
      </c>
      <c r="W144">
        <v>0.84799999999999998</v>
      </c>
      <c r="X144">
        <v>0.76900000000000002</v>
      </c>
      <c r="Y144">
        <v>0.91200000000000003</v>
      </c>
      <c r="Z144">
        <v>0.77700000000000002</v>
      </c>
      <c r="AA144">
        <v>0.81499999999999995</v>
      </c>
      <c r="AB144">
        <v>0.84199999999999997</v>
      </c>
    </row>
    <row r="145" spans="1:28" x14ac:dyDescent="0.25">
      <c r="A145" t="s">
        <v>170</v>
      </c>
      <c r="B145">
        <v>1</v>
      </c>
      <c r="C145">
        <v>6.1929999999999996</v>
      </c>
      <c r="D145">
        <v>-1.31</v>
      </c>
      <c r="E145">
        <v>-0.15</v>
      </c>
      <c r="F145">
        <v>-0.73</v>
      </c>
      <c r="G145">
        <v>-0.28000000000000003</v>
      </c>
      <c r="H145">
        <v>-0.57999999999999996</v>
      </c>
      <c r="I145">
        <v>-0.83</v>
      </c>
      <c r="J145">
        <v>-0.81</v>
      </c>
      <c r="K145" s="5">
        <v>-0.625</v>
      </c>
      <c r="L145">
        <v>2</v>
      </c>
      <c r="M145">
        <v>10</v>
      </c>
      <c r="N145">
        <v>12</v>
      </c>
      <c r="O145">
        <v>0.94</v>
      </c>
      <c r="P145">
        <v>0.74</v>
      </c>
      <c r="Q145" s="4">
        <v>72.388000000000005</v>
      </c>
      <c r="R145" s="4">
        <v>12.46086979</v>
      </c>
      <c r="S145" s="4">
        <v>11.90999985</v>
      </c>
      <c r="T145" s="3">
        <v>8825.7308929999999</v>
      </c>
      <c r="U145">
        <v>34.85</v>
      </c>
      <c r="V145" s="2">
        <v>5.8040460304099477E-2</v>
      </c>
      <c r="W145">
        <v>0.215</v>
      </c>
      <c r="X145">
        <v>7.8E-2</v>
      </c>
      <c r="Y145">
        <v>0.19</v>
      </c>
      <c r="Z145">
        <v>0.435</v>
      </c>
      <c r="AA145">
        <v>0.19600000000000001</v>
      </c>
      <c r="AB145">
        <v>0.42199999999999999</v>
      </c>
    </row>
    <row r="146" spans="1:28" x14ac:dyDescent="0.25">
      <c r="A146" t="s">
        <v>171</v>
      </c>
      <c r="B146">
        <v>2</v>
      </c>
      <c r="C146">
        <v>5.21</v>
      </c>
      <c r="D146">
        <v>-1.53</v>
      </c>
      <c r="E146">
        <v>-1.19</v>
      </c>
      <c r="F146">
        <v>-1.36</v>
      </c>
      <c r="G146">
        <v>-1.6</v>
      </c>
      <c r="H146">
        <v>-2.0299999999999998</v>
      </c>
      <c r="I146">
        <v>-2.15</v>
      </c>
      <c r="J146">
        <v>-1.69</v>
      </c>
      <c r="K146" s="5">
        <v>-1.8674999999999999</v>
      </c>
      <c r="L146">
        <v>1</v>
      </c>
      <c r="M146">
        <v>14</v>
      </c>
      <c r="N146">
        <v>15</v>
      </c>
      <c r="O146">
        <v>0.66</v>
      </c>
      <c r="P146">
        <v>0.70899999999999996</v>
      </c>
      <c r="Q146" s="4">
        <v>72.513999999999996</v>
      </c>
      <c r="R146" s="4">
        <v>12.965376539999999</v>
      </c>
      <c r="S146" s="4">
        <v>9.6783853729999993</v>
      </c>
      <c r="T146" s="3">
        <v>7157.08</v>
      </c>
      <c r="U146">
        <v>36.75</v>
      </c>
      <c r="V146" s="2">
        <v>8.6472047562118903E-2</v>
      </c>
      <c r="W146">
        <v>0.19700000000000001</v>
      </c>
      <c r="X146">
        <v>4.9000000000000002E-2</v>
      </c>
      <c r="Y146">
        <v>0.10100000000000001</v>
      </c>
      <c r="Z146">
        <v>0.26300000000000001</v>
      </c>
      <c r="AA146">
        <v>0.49199999999999999</v>
      </c>
      <c r="AB146">
        <v>2.3E-2</v>
      </c>
    </row>
    <row r="147" spans="1:28" x14ac:dyDescent="0.25">
      <c r="A147" t="s">
        <v>172</v>
      </c>
      <c r="B147">
        <v>1</v>
      </c>
      <c r="C147">
        <v>6.3520000000000003</v>
      </c>
      <c r="D147">
        <v>-1.24</v>
      </c>
      <c r="E147">
        <v>-0.04</v>
      </c>
      <c r="F147">
        <v>-0.64</v>
      </c>
      <c r="G147">
        <v>0.13</v>
      </c>
      <c r="H147">
        <v>-0.38</v>
      </c>
      <c r="I147">
        <v>-0.09</v>
      </c>
      <c r="J147">
        <v>-0.42</v>
      </c>
      <c r="K147" s="5">
        <v>-0.19</v>
      </c>
      <c r="L147">
        <v>4</v>
      </c>
      <c r="M147">
        <v>15</v>
      </c>
      <c r="N147">
        <v>19</v>
      </c>
      <c r="O147">
        <v>0.94</v>
      </c>
      <c r="P147">
        <v>0.76600000000000001</v>
      </c>
      <c r="Q147" s="4">
        <v>74.587999999999994</v>
      </c>
      <c r="R147" s="4">
        <v>15.457715029999999</v>
      </c>
      <c r="S147" s="4">
        <v>8.9799995419999998</v>
      </c>
      <c r="T147" s="3">
        <v>13032.635329999999</v>
      </c>
      <c r="U147">
        <v>39.42</v>
      </c>
      <c r="V147" s="2">
        <v>6.5595594052875128E-2</v>
      </c>
      <c r="W147">
        <v>0.17399999999999999</v>
      </c>
      <c r="X147">
        <v>0.124</v>
      </c>
      <c r="Y147">
        <v>0.38200000000000001</v>
      </c>
      <c r="Z147">
        <v>0.61399999999999999</v>
      </c>
      <c r="AA147">
        <v>0.499</v>
      </c>
      <c r="AB147">
        <v>0.65900000000000003</v>
      </c>
    </row>
    <row r="148" spans="1:28" x14ac:dyDescent="0.25">
      <c r="A148" t="s">
        <v>173</v>
      </c>
      <c r="B148">
        <v>3</v>
      </c>
      <c r="C148">
        <v>3.9119999999999999</v>
      </c>
      <c r="D148">
        <v>-0.05</v>
      </c>
      <c r="E148">
        <v>0.2</v>
      </c>
      <c r="F148">
        <v>7.5000000000000011E-2</v>
      </c>
      <c r="G148">
        <v>-0.66</v>
      </c>
      <c r="H148">
        <v>-0.5</v>
      </c>
      <c r="I148">
        <v>-0.53</v>
      </c>
      <c r="J148">
        <v>-0.48</v>
      </c>
      <c r="K148" s="5">
        <v>-0.54249999999999998</v>
      </c>
      <c r="L148">
        <v>23</v>
      </c>
      <c r="M148">
        <v>31</v>
      </c>
      <c r="N148">
        <v>54</v>
      </c>
      <c r="O148">
        <v>0.79</v>
      </c>
      <c r="P148">
        <v>0.59499999999999997</v>
      </c>
      <c r="Q148" s="4">
        <v>66.349000000000004</v>
      </c>
      <c r="R148" s="4">
        <v>11.02052892</v>
      </c>
      <c r="S148" s="4">
        <v>7.3974085430000001</v>
      </c>
      <c r="T148" s="3">
        <v>3446.6758209999998</v>
      </c>
      <c r="U148">
        <v>43.32</v>
      </c>
      <c r="V148" s="2"/>
      <c r="W148">
        <v>0.51</v>
      </c>
      <c r="X148">
        <v>0.39200000000000002</v>
      </c>
      <c r="Y148">
        <v>0.73199999999999998</v>
      </c>
      <c r="Z148">
        <v>0.60299999999999998</v>
      </c>
      <c r="AA148">
        <v>0.65</v>
      </c>
      <c r="AB148">
        <v>0.877</v>
      </c>
    </row>
    <row r="149" spans="1:28" x14ac:dyDescent="0.25">
      <c r="A149" t="s">
        <v>174</v>
      </c>
      <c r="B149">
        <v>2</v>
      </c>
      <c r="C149">
        <v>3.3959999999999999</v>
      </c>
      <c r="D149">
        <v>-1.0900000000000001</v>
      </c>
      <c r="E149">
        <v>-0.93</v>
      </c>
      <c r="F149">
        <v>-1.01</v>
      </c>
      <c r="G149">
        <v>-1.17</v>
      </c>
      <c r="H149">
        <v>-1.34</v>
      </c>
      <c r="I149">
        <v>-1.28</v>
      </c>
      <c r="J149">
        <v>-1.26</v>
      </c>
      <c r="K149" s="5">
        <v>-1.2625</v>
      </c>
      <c r="L149">
        <v>10</v>
      </c>
      <c r="M149">
        <v>17</v>
      </c>
      <c r="N149">
        <v>27</v>
      </c>
      <c r="O149">
        <v>0.65</v>
      </c>
      <c r="P149">
        <v>0.59799999999999998</v>
      </c>
      <c r="Q149" s="4">
        <v>62.774999999999999</v>
      </c>
      <c r="R149" s="4">
        <v>11.05745312</v>
      </c>
      <c r="S149" s="4">
        <v>8.9308472160000001</v>
      </c>
      <c r="T149" s="3">
        <v>3511.4632150000002</v>
      </c>
      <c r="U149">
        <v>41.75</v>
      </c>
      <c r="V149" s="2">
        <v>9.2614706859745211E-2</v>
      </c>
      <c r="W149">
        <v>0.27</v>
      </c>
      <c r="X149">
        <v>0.156</v>
      </c>
      <c r="Y149">
        <v>0.39200000000000002</v>
      </c>
      <c r="Z149">
        <v>0.33700000000000002</v>
      </c>
      <c r="AA149">
        <v>0.54700000000000004</v>
      </c>
      <c r="AB149">
        <v>0.57799999999999996</v>
      </c>
    </row>
    <row r="150" spans="1:28" x14ac:dyDescent="0.25">
      <c r="T150" s="3"/>
    </row>
    <row r="151" spans="1:28" x14ac:dyDescent="0.25">
      <c r="A151" s="1"/>
      <c r="B151" s="1"/>
      <c r="C151" s="1" t="s">
        <v>223</v>
      </c>
      <c r="D151" s="1" t="s">
        <v>2</v>
      </c>
      <c r="E151" s="1" t="s">
        <v>3</v>
      </c>
      <c r="F151" s="1" t="s">
        <v>4</v>
      </c>
      <c r="G151" s="1" t="s">
        <v>5</v>
      </c>
      <c r="H151" s="1" t="s">
        <v>6</v>
      </c>
      <c r="I151" s="1" t="s">
        <v>7</v>
      </c>
      <c r="J151" s="1" t="s">
        <v>8</v>
      </c>
      <c r="K151" s="1" t="s">
        <v>9</v>
      </c>
      <c r="L151" s="1" t="s">
        <v>10</v>
      </c>
      <c r="M151" s="1" t="s">
        <v>11</v>
      </c>
      <c r="N151" s="1" t="s">
        <v>12</v>
      </c>
      <c r="O151" s="1" t="s">
        <v>13</v>
      </c>
      <c r="P151" s="1" t="s">
        <v>14</v>
      </c>
      <c r="Q151" s="1" t="s">
        <v>15</v>
      </c>
      <c r="R151" s="1" t="s">
        <v>16</v>
      </c>
      <c r="S151" s="1" t="s">
        <v>17</v>
      </c>
      <c r="T151" s="1" t="s">
        <v>18</v>
      </c>
      <c r="U151" s="1" t="s">
        <v>19</v>
      </c>
      <c r="V151" s="1" t="s">
        <v>20</v>
      </c>
      <c r="W151" s="1" t="s">
        <v>21</v>
      </c>
      <c r="X151" s="1" t="s">
        <v>22</v>
      </c>
      <c r="Y151" s="1" t="s">
        <v>23</v>
      </c>
      <c r="Z151" s="1" t="s">
        <v>24</v>
      </c>
      <c r="AA151" s="1" t="s">
        <v>25</v>
      </c>
      <c r="AB151" s="1" t="s">
        <v>26</v>
      </c>
    </row>
    <row r="152" spans="1:28" x14ac:dyDescent="0.25">
      <c r="T152" s="3"/>
    </row>
    <row r="153" spans="1:28" s="5" customFormat="1" x14ac:dyDescent="0.25">
      <c r="A153" s="5" t="s">
        <v>175</v>
      </c>
      <c r="C153" s="5">
        <v>5.59</v>
      </c>
      <c r="D153" s="5">
        <v>-2.9594594594594601E-2</v>
      </c>
      <c r="E153" s="5">
        <v>-0.17175675675675681</v>
      </c>
      <c r="F153" s="5">
        <v>-0.1</v>
      </c>
      <c r="G153" s="5">
        <v>1.716216216216215E-2</v>
      </c>
      <c r="H153" s="5">
        <v>1.9189189189189201E-2</v>
      </c>
      <c r="I153" s="5">
        <v>-4.5270270270270273E-2</v>
      </c>
      <c r="J153" s="5">
        <v>-7.7364864864864866E-2</v>
      </c>
      <c r="K153" s="5">
        <v>-2.1000000000000001E-2</v>
      </c>
      <c r="L153" s="5">
        <v>22.55</v>
      </c>
      <c r="M153" s="5">
        <v>34.630000000000003</v>
      </c>
      <c r="N153" s="5">
        <v>57.19</v>
      </c>
      <c r="O153" s="5">
        <v>0.79</v>
      </c>
      <c r="P153" s="5">
        <v>0.75</v>
      </c>
      <c r="Q153" s="5">
        <v>73.5</v>
      </c>
      <c r="R153" s="5">
        <v>13.68</v>
      </c>
      <c r="S153" s="5">
        <v>9.18</v>
      </c>
      <c r="T153" s="3">
        <v>25440.43</v>
      </c>
      <c r="U153" s="5">
        <v>20.88</v>
      </c>
      <c r="V153" s="5">
        <v>3.2000000000000001E-2</v>
      </c>
      <c r="W153" s="5">
        <v>0.52281756756756759</v>
      </c>
      <c r="X153" s="5">
        <v>0.4</v>
      </c>
      <c r="Y153" s="5">
        <v>0.61</v>
      </c>
      <c r="Z153" s="5">
        <v>0.61</v>
      </c>
      <c r="AA153" s="5">
        <v>0.50326351351351351</v>
      </c>
      <c r="AB153" s="5">
        <v>0.62</v>
      </c>
    </row>
    <row r="154" spans="1:28" s="5" customFormat="1" x14ac:dyDescent="0.25">
      <c r="A154" s="5" t="s">
        <v>176</v>
      </c>
      <c r="C154" s="5">
        <v>1</v>
      </c>
      <c r="D154" s="5">
        <v>0.58761729734667467</v>
      </c>
      <c r="E154" s="5">
        <v>0.60443334687625783</v>
      </c>
      <c r="F154" s="5">
        <v>0.64700000000000002</v>
      </c>
      <c r="G154" s="5">
        <v>0.68532284288665424</v>
      </c>
      <c r="H154" s="5">
        <v>0.67167390060212762</v>
      </c>
      <c r="I154" s="5">
        <v>0.63239878891430923</v>
      </c>
      <c r="J154" s="5">
        <v>0.6131784002309697</v>
      </c>
      <c r="K154" s="5">
        <v>0.66500000000000004</v>
      </c>
      <c r="L154" s="5">
        <v>0.51</v>
      </c>
      <c r="M154" s="5">
        <v>0.54</v>
      </c>
      <c r="N154" s="5">
        <v>0.53500000000000003</v>
      </c>
      <c r="O154" s="5">
        <v>0.63500000000000001</v>
      </c>
      <c r="P154" s="5">
        <v>0.69468655018919268</v>
      </c>
      <c r="Q154" s="5">
        <v>0.62759340228968152</v>
      </c>
      <c r="R154" s="5">
        <v>0.63226614448305352</v>
      </c>
      <c r="S154" s="5">
        <v>0.62445328843653169</v>
      </c>
      <c r="T154" s="5">
        <v>0.65841321805918407</v>
      </c>
      <c r="U154" s="5">
        <v>-0.1</v>
      </c>
      <c r="V154" s="5">
        <v>-7.0000000000000007E-2</v>
      </c>
      <c r="W154" s="5">
        <v>0.56000000000000005</v>
      </c>
      <c r="X154" s="5">
        <v>0.57999999999999996</v>
      </c>
      <c r="Y154" s="5">
        <v>0.47</v>
      </c>
      <c r="Z154" s="5">
        <v>0.52</v>
      </c>
      <c r="AA154" s="5">
        <v>0.37</v>
      </c>
      <c r="AB154" s="5">
        <v>0.36</v>
      </c>
    </row>
    <row r="157" spans="1:28" x14ac:dyDescent="0.25">
      <c r="A157" t="s">
        <v>177</v>
      </c>
    </row>
    <row r="158" spans="1:28" x14ac:dyDescent="0.25">
      <c r="A158" t="s">
        <v>178</v>
      </c>
      <c r="C158" s="5">
        <v>4.9850909090909088</v>
      </c>
      <c r="D158" s="5">
        <v>-1.2172727272727271</v>
      </c>
      <c r="E158" s="5">
        <v>-0.88772727272727259</v>
      </c>
      <c r="F158" s="5">
        <v>-1.052272727272727</v>
      </c>
      <c r="G158" s="5">
        <v>-0.56954545454545447</v>
      </c>
      <c r="H158" s="5">
        <v>-0.6404545454545455</v>
      </c>
      <c r="I158" s="5">
        <v>-0.68</v>
      </c>
      <c r="J158" s="5">
        <v>-0.62681818181818183</v>
      </c>
      <c r="K158" s="5">
        <v>-0.62852272727272718</v>
      </c>
      <c r="L158" s="5">
        <v>4.0454545454545459</v>
      </c>
      <c r="M158" s="5">
        <v>14.86363636363636</v>
      </c>
      <c r="N158" s="5">
        <v>18.90909090909091</v>
      </c>
      <c r="O158" s="5">
        <v>0.76126666666666665</v>
      </c>
      <c r="P158" s="5">
        <v>0.68559090909090914</v>
      </c>
      <c r="Q158" s="5">
        <v>71.715863636363622</v>
      </c>
      <c r="R158" s="5">
        <v>12.201584113954549</v>
      </c>
      <c r="S158" s="5">
        <v>7.4582787343636374</v>
      </c>
      <c r="T158" s="3">
        <v>20358.753109181798</v>
      </c>
      <c r="U158" s="5">
        <v>21.72571428571429</v>
      </c>
      <c r="V158" s="5">
        <v>3.5818345172590173E-2</v>
      </c>
      <c r="W158" s="5">
        <v>0.17499999999999999</v>
      </c>
      <c r="X158" s="5">
        <v>0.1128181818181818</v>
      </c>
      <c r="Y158" s="5">
        <v>0.32313636363636361</v>
      </c>
      <c r="Z158" s="5">
        <v>0.45109090909090921</v>
      </c>
      <c r="AA158" s="5">
        <v>0.28522727272727272</v>
      </c>
      <c r="AB158" s="5">
        <v>0.39127272727272722</v>
      </c>
    </row>
    <row r="159" spans="1:28" x14ac:dyDescent="0.25">
      <c r="A159" t="s">
        <v>179</v>
      </c>
      <c r="C159" s="5">
        <v>5.0354318181818192</v>
      </c>
      <c r="D159" s="5">
        <v>-0.66136363636363638</v>
      </c>
      <c r="E159" s="5">
        <v>-0.57750000000000001</v>
      </c>
      <c r="F159" s="5">
        <v>-0.61943181818181825</v>
      </c>
      <c r="G159" s="5">
        <v>-0.4336363636363636</v>
      </c>
      <c r="H159" s="5">
        <v>-0.51522727272727264</v>
      </c>
      <c r="I159" s="5">
        <v>-0.59522727272727272</v>
      </c>
      <c r="J159" s="5">
        <v>-0.68295454545454548</v>
      </c>
      <c r="K159" s="5">
        <v>-0.55676136363636364</v>
      </c>
      <c r="L159" s="5">
        <v>14.20454545454546</v>
      </c>
      <c r="M159" s="5">
        <v>24.43181818181818</v>
      </c>
      <c r="N159" s="5">
        <v>38.636363636363633</v>
      </c>
      <c r="O159" s="5">
        <v>0.74695238095238081</v>
      </c>
      <c r="P159" s="5">
        <v>0.67786046511627895</v>
      </c>
      <c r="Q159" s="5">
        <v>70.074837209302331</v>
      </c>
      <c r="R159" s="5">
        <v>12.45481601051163</v>
      </c>
      <c r="S159" s="5">
        <v>7.9630201284651179</v>
      </c>
      <c r="T159" s="3">
        <v>14797.906908441861</v>
      </c>
      <c r="U159" s="5">
        <v>23.423888888888889</v>
      </c>
      <c r="V159" s="5">
        <v>3.7777383359743802E-2</v>
      </c>
      <c r="W159" s="5">
        <v>0.32454545454545453</v>
      </c>
      <c r="X159" s="5">
        <v>0.19025</v>
      </c>
      <c r="Y159" s="5">
        <v>0.40852272727272732</v>
      </c>
      <c r="Z159" s="5">
        <v>0.49013636363636381</v>
      </c>
      <c r="AA159" s="5">
        <v>0.41413636363636358</v>
      </c>
      <c r="AB159" s="5">
        <v>0.4668863636363636</v>
      </c>
    </row>
    <row r="160" spans="1:28" x14ac:dyDescent="0.25">
      <c r="A160" t="s">
        <v>180</v>
      </c>
      <c r="C160" s="5">
        <v>5.6660961538461541</v>
      </c>
      <c r="D160" s="5">
        <v>0.33538461538461528</v>
      </c>
      <c r="E160" s="5">
        <v>5.1923076923076914E-3</v>
      </c>
      <c r="F160" s="5">
        <v>0.1702884615384615</v>
      </c>
      <c r="G160" s="5">
        <v>1.326923076923078E-2</v>
      </c>
      <c r="H160" s="5">
        <v>8.692307692307695E-2</v>
      </c>
      <c r="I160" s="5">
        <v>1.6923076923076909E-2</v>
      </c>
      <c r="J160" s="5">
        <v>-8.288461538461539E-2</v>
      </c>
      <c r="K160" s="5">
        <v>8.557692307692313E-3</v>
      </c>
      <c r="L160" s="5">
        <v>29.73076923076923</v>
      </c>
      <c r="M160" s="5">
        <v>40.942307692307693</v>
      </c>
      <c r="N160" s="5">
        <v>70.67307692307692</v>
      </c>
      <c r="O160" s="5">
        <v>0.79458333333333331</v>
      </c>
      <c r="P160" s="5">
        <v>0.75858823529411767</v>
      </c>
      <c r="Q160" s="5">
        <v>73.847549019607854</v>
      </c>
      <c r="R160" s="5">
        <v>13.82132287454902</v>
      </c>
      <c r="S160" s="5">
        <v>9.5461752908627453</v>
      </c>
      <c r="T160" s="3">
        <v>22996.942000019611</v>
      </c>
      <c r="U160" s="5">
        <v>19.812666666666669</v>
      </c>
      <c r="V160" s="5">
        <v>2.4140226647474668E-2</v>
      </c>
      <c r="W160" s="5">
        <v>0.64096153846153825</v>
      </c>
      <c r="X160" s="5">
        <v>0.49624999999999991</v>
      </c>
      <c r="Y160" s="5">
        <v>0.72357692307692301</v>
      </c>
      <c r="Z160" s="5">
        <v>0.64634615384615379</v>
      </c>
      <c r="AA160" s="5">
        <v>0.57340384615384621</v>
      </c>
      <c r="AB160" s="5">
        <v>0.69517307692307695</v>
      </c>
    </row>
    <row r="161" spans="1:28" x14ac:dyDescent="0.25">
      <c r="A161" t="s">
        <v>181</v>
      </c>
      <c r="C161" s="5">
        <v>6.7706666666666662</v>
      </c>
      <c r="D161" s="5">
        <v>1.293703703703704</v>
      </c>
      <c r="E161" s="5">
        <v>0.6788888888888891</v>
      </c>
      <c r="F161" s="5">
        <v>0.98629629629629623</v>
      </c>
      <c r="G161" s="5">
        <v>1.23</v>
      </c>
      <c r="H161" s="5">
        <v>1.281851851851852</v>
      </c>
      <c r="I161" s="5">
        <v>1.2474074074074071</v>
      </c>
      <c r="J161" s="5">
        <v>1.34962962962963</v>
      </c>
      <c r="K161" s="5">
        <v>1.277222222222222</v>
      </c>
      <c r="L161" s="5">
        <v>37.851851851851848</v>
      </c>
      <c r="M161" s="5">
        <v>55.370370370370367</v>
      </c>
      <c r="N161" s="5">
        <v>93.222222222222229</v>
      </c>
      <c r="O161" s="5">
        <v>0.85503703703703693</v>
      </c>
      <c r="P161" s="5">
        <v>0.89140740740740732</v>
      </c>
      <c r="Q161" s="5">
        <v>79.870888888888899</v>
      </c>
      <c r="R161" s="5">
        <v>16.824096292148148</v>
      </c>
      <c r="S161" s="5">
        <v>11.87531565140741</v>
      </c>
      <c r="T161" s="3">
        <v>52650.775790037027</v>
      </c>
      <c r="U161" s="5">
        <v>18.606249999999999</v>
      </c>
      <c r="V161" s="5">
        <v>3.6565300241896879E-2</v>
      </c>
      <c r="W161" s="5">
        <v>0.84977777777777785</v>
      </c>
      <c r="X161" s="5">
        <v>0.78233333333333333</v>
      </c>
      <c r="Y161" s="5">
        <v>0.92951851851851852</v>
      </c>
      <c r="Z161" s="5">
        <v>0.86385185185185187</v>
      </c>
      <c r="AA161" s="5">
        <v>0.65996296296296308</v>
      </c>
      <c r="AB161" s="5">
        <v>0.89748148148148144</v>
      </c>
    </row>
    <row r="163" spans="1:28" x14ac:dyDescent="0.25">
      <c r="A163" t="s">
        <v>182</v>
      </c>
    </row>
    <row r="164" spans="1:28" x14ac:dyDescent="0.25">
      <c r="A164" t="s">
        <v>183</v>
      </c>
      <c r="C164">
        <v>1</v>
      </c>
      <c r="D164" s="5">
        <v>0.12974881488034459</v>
      </c>
      <c r="E164" s="5">
        <v>0.69498941044809948</v>
      </c>
      <c r="F164" s="5">
        <v>0.65840325673015077</v>
      </c>
      <c r="G164" s="5">
        <v>0.6823421738619545</v>
      </c>
      <c r="H164" s="5">
        <v>0.44748405665003022</v>
      </c>
      <c r="I164" s="5">
        <v>0.59338811566959992</v>
      </c>
      <c r="J164" s="5">
        <v>0.53299024940044604</v>
      </c>
      <c r="K164" s="5">
        <v>0.58153984103425094</v>
      </c>
      <c r="L164" s="5">
        <v>3.5656700003113662E-2</v>
      </c>
      <c r="M164" s="5">
        <v>-2.641830724155916E-2</v>
      </c>
      <c r="N164" s="5">
        <v>-3.0510156528555932E-3</v>
      </c>
      <c r="O164" s="5">
        <v>0.90585595829241672</v>
      </c>
      <c r="P164" s="5">
        <v>0.61859198409000626</v>
      </c>
      <c r="Q164" s="5">
        <v>0.40243232281727748</v>
      </c>
      <c r="R164" s="5">
        <v>0.62240646647010078</v>
      </c>
      <c r="S164" s="5">
        <v>0.50273251687375875</v>
      </c>
      <c r="T164" s="5">
        <v>0.5477079287683565</v>
      </c>
      <c r="U164" s="5">
        <v>0.19286601403435741</v>
      </c>
      <c r="V164" s="5">
        <v>-0.57821710038996477</v>
      </c>
      <c r="W164" s="5">
        <v>-0.12169468927759169</v>
      </c>
      <c r="X164" s="5">
        <v>2.0988934951169349E-2</v>
      </c>
      <c r="Y164" s="5">
        <v>7.3432650489055548E-2</v>
      </c>
      <c r="Z164" s="5">
        <v>0.40122293650113389</v>
      </c>
      <c r="AA164" s="5">
        <v>-0.107419626251165</v>
      </c>
      <c r="AB164" s="5">
        <v>0.11515720301961981</v>
      </c>
    </row>
    <row r="165" spans="1:28" x14ac:dyDescent="0.25">
      <c r="A165" t="s">
        <v>184</v>
      </c>
      <c r="C165">
        <v>1</v>
      </c>
      <c r="D165" s="5">
        <v>0.2062838828465165</v>
      </c>
      <c r="E165" s="5">
        <v>0.30200709165076978</v>
      </c>
      <c r="F165" s="5">
        <v>0.29763933643648632</v>
      </c>
      <c r="G165" s="5">
        <v>0.39271808420430598</v>
      </c>
      <c r="H165" s="5">
        <v>0.40538390069154578</v>
      </c>
      <c r="I165" s="5">
        <v>0.26709022398929078</v>
      </c>
      <c r="J165" s="5">
        <v>0.20288324815836031</v>
      </c>
      <c r="K165" s="5">
        <v>0.33371592857533883</v>
      </c>
      <c r="L165" s="5">
        <v>9.0105739811280366E-2</v>
      </c>
      <c r="M165" s="5">
        <v>0.12879781681739669</v>
      </c>
      <c r="N165" s="5">
        <v>0.1146951330581272</v>
      </c>
      <c r="O165" s="5">
        <v>0.43191993166489678</v>
      </c>
      <c r="P165" s="5">
        <v>0.59163150703598111</v>
      </c>
      <c r="Q165" s="5">
        <v>0.51844478620507206</v>
      </c>
      <c r="R165" s="5">
        <v>0.39936040703316439</v>
      </c>
      <c r="S165" s="5">
        <v>0.58800910172896981</v>
      </c>
      <c r="T165" s="5">
        <v>0.51345802154284692</v>
      </c>
      <c r="U165" s="5">
        <v>-5.133024877414525E-2</v>
      </c>
      <c r="V165" s="5">
        <v>-0.1294629462414989</v>
      </c>
      <c r="W165" s="5">
        <v>0.1058023641640263</v>
      </c>
      <c r="X165" s="5">
        <v>8.9348486987349832E-2</v>
      </c>
      <c r="Y165" s="5">
        <v>5.4875470913632027E-2</v>
      </c>
      <c r="Z165" s="5">
        <v>0.1062465141619741</v>
      </c>
      <c r="AA165" s="5">
        <v>-0.1488933976685094</v>
      </c>
      <c r="AB165" s="5">
        <v>-0.22525162193057191</v>
      </c>
    </row>
    <row r="166" spans="1:28" x14ac:dyDescent="0.25">
      <c r="A166" t="s">
        <v>185</v>
      </c>
      <c r="C166">
        <v>1</v>
      </c>
      <c r="D166" s="5">
        <v>0.47561008720534881</v>
      </c>
      <c r="E166" s="5">
        <v>0.2410616291788707</v>
      </c>
      <c r="F166" s="5">
        <v>0.3719478541560523</v>
      </c>
      <c r="G166" s="5">
        <v>0.49936552907685328</v>
      </c>
      <c r="H166" s="5">
        <v>0.552911130084067</v>
      </c>
      <c r="I166" s="5">
        <v>0.36684669969966099</v>
      </c>
      <c r="J166" s="5">
        <v>0.32047481712718101</v>
      </c>
      <c r="K166" s="5">
        <v>0.45730368669821359</v>
      </c>
      <c r="L166" s="5">
        <v>0.47621769549172399</v>
      </c>
      <c r="M166" s="5">
        <v>0.47412130254262758</v>
      </c>
      <c r="N166" s="5">
        <v>0.48203123147914673</v>
      </c>
      <c r="O166" s="5">
        <v>0.46980052507271441</v>
      </c>
      <c r="P166" s="5">
        <v>0.67284102966236758</v>
      </c>
      <c r="Q166" s="5">
        <v>0.63576830774227988</v>
      </c>
      <c r="R166" s="5">
        <v>0.59037789822293707</v>
      </c>
      <c r="S166" s="5">
        <v>0.54660387204142014</v>
      </c>
      <c r="T166" s="5">
        <v>0.67810375811731471</v>
      </c>
      <c r="U166" s="5">
        <v>-0.10784073150962591</v>
      </c>
      <c r="V166" s="5">
        <v>5.000472405644029E-2</v>
      </c>
      <c r="W166" s="5">
        <v>0.38851675614657288</v>
      </c>
      <c r="X166" s="5">
        <v>0.32891331330668128</v>
      </c>
      <c r="Y166" s="5">
        <v>0.14883515955050799</v>
      </c>
      <c r="Z166" s="5">
        <v>0.21621700809116209</v>
      </c>
      <c r="AA166" s="5">
        <v>0.33598582633984508</v>
      </c>
      <c r="AB166" s="5">
        <v>1.478005586481475E-2</v>
      </c>
    </row>
    <row r="167" spans="1:28" x14ac:dyDescent="0.25">
      <c r="A167" t="s">
        <v>186</v>
      </c>
      <c r="C167">
        <v>1</v>
      </c>
      <c r="D167" s="5">
        <v>0.7913077735267886</v>
      </c>
      <c r="E167" s="5">
        <v>0.640898455324585</v>
      </c>
      <c r="F167" s="5">
        <v>0.77721660402234582</v>
      </c>
      <c r="G167" s="5">
        <v>0.6887061891575208</v>
      </c>
      <c r="H167" s="5">
        <v>0.69065765592631079</v>
      </c>
      <c r="I167" s="5">
        <v>0.71410165602955911</v>
      </c>
      <c r="J167" s="5">
        <v>0.78872030560527939</v>
      </c>
      <c r="K167" s="5">
        <v>0.74770666245140083</v>
      </c>
      <c r="L167" s="5">
        <v>0.6003764477165251</v>
      </c>
      <c r="M167" s="5">
        <v>0.7422632642793614</v>
      </c>
      <c r="N167" s="5">
        <v>0.7276074104979835</v>
      </c>
      <c r="O167" s="5">
        <v>0.74604273667988474</v>
      </c>
      <c r="P167" s="5">
        <v>0.40714137817644153</v>
      </c>
      <c r="Q167" s="5">
        <v>0.45229467437536208</v>
      </c>
      <c r="R167" s="5">
        <v>0.50247377027019258</v>
      </c>
      <c r="S167" s="5">
        <v>0.21342423266373439</v>
      </c>
      <c r="T167" s="5">
        <v>0.58419565061663736</v>
      </c>
      <c r="U167" s="5">
        <v>-0.2163846598991247</v>
      </c>
      <c r="V167" s="5">
        <v>-1.0149081834752979E-2</v>
      </c>
      <c r="W167" s="5">
        <v>0.66204955545640465</v>
      </c>
      <c r="X167" s="5">
        <v>0.68146776340670379</v>
      </c>
      <c r="Y167" s="5">
        <v>0.56845307751984153</v>
      </c>
      <c r="Z167" s="5">
        <v>0.56849650025048293</v>
      </c>
      <c r="AA167" s="5">
        <v>0.19112906579464431</v>
      </c>
      <c r="AB167" s="5">
        <v>0.43250400432493191</v>
      </c>
    </row>
    <row r="169" spans="1:28" x14ac:dyDescent="0.25">
      <c r="A169" t="s">
        <v>224</v>
      </c>
    </row>
    <row r="170" spans="1:28" x14ac:dyDescent="0.25">
      <c r="A170" t="s">
        <v>187</v>
      </c>
    </row>
    <row r="171" spans="1:28" x14ac:dyDescent="0.25">
      <c r="A171" t="s">
        <v>188</v>
      </c>
    </row>
    <row r="172" spans="1:28" x14ac:dyDescent="0.25">
      <c r="A172" t="s">
        <v>189</v>
      </c>
    </row>
    <row r="173" spans="1:28" x14ac:dyDescent="0.25">
      <c r="A173" t="s">
        <v>190</v>
      </c>
    </row>
    <row r="174" spans="1:28" x14ac:dyDescent="0.25">
      <c r="A174" t="s">
        <v>191</v>
      </c>
    </row>
    <row r="175" spans="1:28" x14ac:dyDescent="0.25">
      <c r="A175" t="s">
        <v>192</v>
      </c>
    </row>
    <row r="177" spans="1:1" x14ac:dyDescent="0.25">
      <c r="A177" t="s">
        <v>193</v>
      </c>
    </row>
    <row r="178" spans="1:1" x14ac:dyDescent="0.25">
      <c r="A178" t="s">
        <v>194</v>
      </c>
    </row>
    <row r="179" spans="1:1" x14ac:dyDescent="0.25">
      <c r="A179" t="s">
        <v>195</v>
      </c>
    </row>
    <row r="180" spans="1:1" x14ac:dyDescent="0.25">
      <c r="A180" t="s">
        <v>196</v>
      </c>
    </row>
    <row r="181" spans="1:1" x14ac:dyDescent="0.25">
      <c r="A181" t="s">
        <v>197</v>
      </c>
    </row>
    <row r="182" spans="1:1" x14ac:dyDescent="0.25">
      <c r="A182" t="s">
        <v>198</v>
      </c>
    </row>
    <row r="183" spans="1:1" x14ac:dyDescent="0.25">
      <c r="A183" t="s">
        <v>199</v>
      </c>
    </row>
    <row r="185" spans="1:1" x14ac:dyDescent="0.25">
      <c r="A185" t="s">
        <v>200</v>
      </c>
    </row>
    <row r="186" spans="1:1" x14ac:dyDescent="0.25">
      <c r="A186" t="s">
        <v>201</v>
      </c>
    </row>
    <row r="187" spans="1:1" x14ac:dyDescent="0.25">
      <c r="A187" t="s">
        <v>202</v>
      </c>
    </row>
    <row r="188" spans="1:1" x14ac:dyDescent="0.25">
      <c r="A188" t="s">
        <v>203</v>
      </c>
    </row>
    <row r="190" spans="1:1" x14ac:dyDescent="0.25">
      <c r="A190" t="s">
        <v>204</v>
      </c>
    </row>
    <row r="191" spans="1:1" x14ac:dyDescent="0.25">
      <c r="A191" t="s">
        <v>205</v>
      </c>
    </row>
    <row r="192" spans="1:1" x14ac:dyDescent="0.25">
      <c r="A192" t="s">
        <v>206</v>
      </c>
    </row>
    <row r="193" spans="1:1" x14ac:dyDescent="0.25">
      <c r="A193" t="s">
        <v>207</v>
      </c>
    </row>
    <row r="194" spans="1:1" x14ac:dyDescent="0.25">
      <c r="A194" t="s">
        <v>208</v>
      </c>
    </row>
    <row r="195" spans="1:1" x14ac:dyDescent="0.25">
      <c r="A195" t="s">
        <v>209</v>
      </c>
    </row>
    <row r="196" spans="1:1" x14ac:dyDescent="0.25">
      <c r="A196" t="s">
        <v>210</v>
      </c>
    </row>
    <row r="197" spans="1:1" x14ac:dyDescent="0.25">
      <c r="A197" t="s">
        <v>211</v>
      </c>
    </row>
    <row r="199" spans="1:1" x14ac:dyDescent="0.25">
      <c r="A199" t="s">
        <v>212</v>
      </c>
    </row>
    <row r="200" spans="1:1" x14ac:dyDescent="0.25">
      <c r="A200" t="s">
        <v>213</v>
      </c>
    </row>
    <row r="201" spans="1:1" x14ac:dyDescent="0.25">
      <c r="A201" t="s">
        <v>214</v>
      </c>
    </row>
    <row r="202" spans="1:1" x14ac:dyDescent="0.25">
      <c r="A202">
        <f>CORREL(C2:C149,F2:F149)</f>
        <v>0.64716375844935026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Ott</dc:creator>
  <cp:lastModifiedBy>Jan</cp:lastModifiedBy>
  <dcterms:created xsi:type="dcterms:W3CDTF">2025-12-02T16:34:01Z</dcterms:created>
  <dcterms:modified xsi:type="dcterms:W3CDTF">2026-10-07T06:35:48Z</dcterms:modified>
</cp:coreProperties>
</file>